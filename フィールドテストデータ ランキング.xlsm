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3743B57B-1B9E-4C5C-9A3D-D792FEC275A9}" xr6:coauthVersionLast="47" xr6:coauthVersionMax="47" xr10:uidLastSave="{00000000-0000-0000-0000-000000000000}"/>
  <bookViews>
    <workbookView xWindow="4800" yWindow="680" windowWidth="14400" windowHeight="7820" tabRatio="912" firstSheet="51" activeTab="64"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externalReferences>
    <externalReference r:id="rId78"/>
  </externalReference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4" i="3" a="1"/>
  <c r="B3" i="3" a="1"/>
  <c r="A48"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B21" i="3" a="1"/>
  <c r="D6" i="3" a="1"/>
  <c r="B5" i="3" a="1"/>
  <c r="B12" i="3" a="1"/>
  <c r="D12" i="3" a="1"/>
  <c r="B11" i="3" a="1"/>
  <c r="B20" i="3" a="1"/>
  <c r="B19" i="3" a="1"/>
  <c r="B28" i="3" a="1"/>
  <c r="G13" i="3" a="1"/>
  <c r="E12" i="3" a="1"/>
  <c r="G12" i="3" a="1"/>
  <c r="D14" i="3" a="1"/>
  <c r="D13" i="3" a="1"/>
  <c r="E13" i="3" a="1"/>
  <c r="D11" i="3" a="1"/>
  <c r="E14" i="3" a="1"/>
  <c r="E11" i="3" a="1"/>
  <c r="G11" i="3" a="1"/>
  <c r="G14" i="3" a="1"/>
  <c r="B11" i="3" l="1"/>
  <c r="D6" i="3"/>
  <c r="B28" i="3"/>
  <c r="B19" i="3"/>
  <c r="G11" i="3"/>
  <c r="G14" i="3"/>
  <c r="G13" i="3"/>
  <c r="G12" i="3"/>
  <c r="D14" i="3"/>
  <c r="D13" i="3"/>
  <c r="D12" i="3"/>
  <c r="D11" i="3"/>
  <c r="E11" i="3"/>
  <c r="E14" i="3"/>
  <c r="E13" i="3"/>
  <c r="E12" i="3"/>
  <c r="B12" i="3"/>
  <c r="B5" i="3"/>
  <c r="B21" i="3"/>
  <c r="B20" i="3"/>
  <c r="C28" i="3" a="1"/>
  <c r="C28" i="3" l="1"/>
  <c r="B32" i="3" a="1"/>
  <c r="B34" i="3" a="1"/>
  <c r="D32" i="3" a="1"/>
  <c r="D20" i="3" a="1"/>
  <c r="D21" i="3" a="1"/>
  <c r="D28" i="3" a="1"/>
  <c r="B40" i="3" a="1"/>
  <c r="B31" i="3" a="1"/>
  <c r="B29" i="3" a="1"/>
  <c r="D44" i="3" a="1"/>
  <c r="B33" i="3" a="1"/>
  <c r="D19" i="3" a="1"/>
  <c r="C20" i="3" a="1"/>
  <c r="B44" i="3" a="1"/>
  <c r="B42" i="3" a="1"/>
  <c r="B22" i="3" a="1"/>
  <c r="D31" i="3" a="1"/>
  <c r="B43" i="3" a="1"/>
  <c r="B41" i="3" a="1"/>
  <c r="B30" i="3" a="1"/>
  <c r="D30" i="3" a="1"/>
  <c r="C19" i="3" a="1"/>
  <c r="D29" i="3" a="1"/>
  <c r="C21" i="3" a="1"/>
  <c r="D19" i="3" l="1"/>
  <c r="C19" i="3"/>
  <c r="D20" i="3"/>
  <c r="D32" i="3"/>
  <c r="D30" i="3"/>
  <c r="C21" i="3"/>
  <c r="D31" i="3"/>
  <c r="D29" i="3"/>
  <c r="D28" i="3"/>
  <c r="D44" i="3"/>
  <c r="C20" i="3"/>
  <c r="D21" i="3"/>
  <c r="B32" i="3"/>
  <c r="B43" i="3"/>
  <c r="C43" i="3" s="1"/>
  <c r="B30" i="3"/>
  <c r="B44" i="3"/>
  <c r="B40" i="3"/>
  <c r="C40" i="3" s="1"/>
  <c r="B31" i="3"/>
  <c r="B22" i="3"/>
  <c r="B34" i="3"/>
  <c r="B29" i="3"/>
  <c r="B42" i="3"/>
  <c r="C42" i="3" s="1"/>
  <c r="B33" i="3"/>
  <c r="B41" i="3"/>
  <c r="C41" i="3" s="1"/>
  <c r="C32" i="3" a="1"/>
  <c r="C29" i="3" a="1"/>
  <c r="C31" i="3" a="1"/>
  <c r="C30" i="3" a="1"/>
  <c r="C44"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<sst xmlns="http://schemas.openxmlformats.org/spreadsheetml/2006/main" count="7782" uniqueCount="1256">
  <si>
    <t>学年</t>
  </si>
  <si>
    <t>性別</t>
  </si>
  <si>
    <t>店舗名</t>
    <rPh sb="0" eb="2">
      <t>テンポ</t>
    </rPh>
    <rPh sb="2" eb="3">
      <t>メイ</t>
    </rPh>
    <phoneticPr fontId="0"/>
  </si>
  <si>
    <t>測定日</t>
  </si>
  <si>
    <t>クラス名</t>
  </si>
  <si>
    <t>受講区分</t>
  </si>
  <si>
    <t>時限</t>
  </si>
  <si>
    <t>時間</t>
  </si>
  <si>
    <t>年齢</t>
  </si>
  <si>
    <t>段階</t>
  </si>
  <si>
    <t>測定値</t>
  </si>
  <si>
    <t>会員名</t>
    <phoneticPr fontId="2"/>
  </si>
  <si>
    <t>生年月日</t>
    <phoneticPr fontId="2"/>
  </si>
  <si>
    <t>学年</t>
    <phoneticPr fontId="2"/>
  </si>
  <si>
    <t>性別</t>
    <phoneticPr fontId="2"/>
  </si>
  <si>
    <t>興味のあるスポーツ</t>
    <phoneticPr fontId="2"/>
  </si>
  <si>
    <t>受講情報</t>
    <rPh sb="0" eb="4">
      <t>ジュコウジョウホウ</t>
    </rPh>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</si>
  <si>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</si>
  <si>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</si>
  <si>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</si>
  <si>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</si>
  <si>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</si>
  <si>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</si>
  <si>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</si>
  <si>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</si>
  <si>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</si>
  <si>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</si>
  <si>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</si>
  <si>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</si>
  <si>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</si>
  <si>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</si>
  <si>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</si>
  <si>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</si>
  <si>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</si>
  <si>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</si>
  <si>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</si>
  <si>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</si>
  <si>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</si>
  <si>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</si>
  <si>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</si>
  <si>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</si>
  <si>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</si>
  <si>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</si>
  <si>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</si>
  <si>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</si>
  <si>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</si>
  <si>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</si>
  <si>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</si>
  <si>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</si>
  <si>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</si>
  <si>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</si>
  <si>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</si>
  <si>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</si>
  <si>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</si>
  <si>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</si>
  <si>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</si>
  <si>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</si>
  <si>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バスケットボール</t>
    <phoneticPr fontId="2"/>
  </si>
  <si>
    <t>小学生コースFT</t>
    <phoneticPr fontId="2"/>
  </si>
  <si>
    <t>フィールドテスト</t>
    <phoneticPr fontId="2"/>
  </si>
  <si>
    <t>1限</t>
    <phoneticPr fontId="2"/>
  </si>
  <si>
    <t>18:00～19:20</t>
    <phoneticPr fontId="2"/>
  </si>
  <si>
    <t>11歳</t>
    <phoneticPr fontId="2"/>
  </si>
  <si>
    <t>2限</t>
    <phoneticPr fontId="2"/>
  </si>
  <si>
    <t>小6</t>
    <phoneticPr fontId="2"/>
  </si>
  <si>
    <t>陸上短距離・跳躍</t>
    <phoneticPr fontId="2"/>
  </si>
  <si>
    <t>12歳</t>
    <phoneticPr fontId="2"/>
  </si>
  <si>
    <t>小1</t>
    <phoneticPr fontId="2"/>
  </si>
  <si>
    <t>女性</t>
    <phoneticPr fontId="2"/>
  </si>
  <si>
    <t>6歳</t>
    <phoneticPr fontId="2"/>
  </si>
  <si>
    <t>7歳</t>
    <phoneticPr fontId="2"/>
  </si>
  <si>
    <t>小4</t>
    <phoneticPr fontId="2"/>
  </si>
  <si>
    <t>9歳</t>
    <phoneticPr fontId="2"/>
  </si>
  <si>
    <t>小井沼　晴義</t>
    <phoneticPr fontId="2"/>
  </si>
  <si>
    <t>2015/02/15</t>
    <phoneticPr fontId="2"/>
  </si>
  <si>
    <t>10歳</t>
    <phoneticPr fontId="2"/>
  </si>
  <si>
    <t>野球</t>
    <phoneticPr fontId="2"/>
  </si>
  <si>
    <t>16:30～17:50</t>
    <phoneticPr fontId="2"/>
  </si>
  <si>
    <t>サッカー</t>
    <phoneticPr fontId="2"/>
  </si>
  <si>
    <t>中1</t>
    <phoneticPr fontId="2"/>
  </si>
  <si>
    <t>中学生コースFT</t>
    <phoneticPr fontId="2"/>
  </si>
  <si>
    <t>3限</t>
    <phoneticPr fontId="2"/>
  </si>
  <si>
    <t>19:30～20:50</t>
    <phoneticPr fontId="2"/>
  </si>
  <si>
    <t>13歳</t>
    <phoneticPr fontId="2"/>
  </si>
  <si>
    <t>中2</t>
    <phoneticPr fontId="2"/>
  </si>
  <si>
    <t>小川　根ノ葉</t>
    <phoneticPr fontId="2"/>
  </si>
  <si>
    <t>2018/10/02</t>
    <phoneticPr fontId="2"/>
  </si>
  <si>
    <t>14歳</t>
    <phoneticPr fontId="2"/>
  </si>
  <si>
    <t>小3</t>
    <phoneticPr fontId="2"/>
  </si>
  <si>
    <t>8歳</t>
    <phoneticPr fontId="2"/>
  </si>
  <si>
    <t>篠崎　楓</t>
    <phoneticPr fontId="2"/>
  </si>
  <si>
    <t>2014/11/06</t>
    <phoneticPr fontId="2"/>
  </si>
  <si>
    <t>篠崎　龍</t>
    <phoneticPr fontId="2"/>
  </si>
  <si>
    <t>2012/04/13</t>
    <phoneticPr fontId="2"/>
  </si>
  <si>
    <t>バレーボール</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</si>
  <si>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</si>
  <si>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</si>
  <si>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</si>
  <si>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</si>
  <si>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</si>
  <si>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</si>
  <si>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</si>
  <si>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</si>
  <si>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</si>
  <si>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</si>
  <si>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</si>
  <si>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</si>
  <si>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</si>
  <si>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</si>
  <si>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</si>
  <si>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</si>
  <si>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</si>
  <si>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</si>
  <si>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</si>
  <si>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</si>
  <si>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</si>
  <si>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</si>
  <si>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</si>
  <si>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</si>
  <si>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</si>
  <si>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</si>
  <si>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</si>
  <si>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</si>
  <si>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</si>
  <si>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</si>
  <si>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</si>
  <si>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</si>
  <si>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</si>
  <si>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</si>
  <si>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</si>
  <si>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</si>
  <si>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</si>
  <si>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</si>
  <si>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</si>
  <si>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</si>
  <si>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</si>
  <si>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</si>
  <si>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</si>
  <si>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</si>
  <si>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</si>
  <si>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</si>
  <si>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</si>
  <si>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</si>
  <si>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</si>
  <si>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</si>
  <si>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</si>
  <si>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</si>
  <si>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</si>
  <si>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</si>
  <si>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</si>
  <si>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</si>
  <si>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</si>
  <si>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</si>
  <si>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</si>
  <si>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</si>
  <si>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</si>
  <si>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</si>
  <si>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</si>
  <si>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</si>
  <si>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</si>
  <si>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</si>
  <si>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</si>
  <si>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</si>
  <si>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</si>
  <si>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</si>
  <si>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</si>
  <si>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</si>
  <si>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</si>
  <si>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</si>
  <si>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</si>
  <si>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</si>
  <si>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</si>
  <si>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</si>
  <si>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</si>
  <si>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</si>
  <si>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</si>
  <si>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</si>
  <si>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</si>
  <si>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</si>
  <si>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</si>
  <si>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</si>
  <si>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</si>
  <si>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</si>
  <si>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</si>
  <si>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</si>
  <si>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</si>
  <si>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</si>
  <si>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</si>
  <si>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</si>
  <si>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</si>
  <si>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</si>
  <si>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</si>
  <si>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</si>
  <si>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</si>
  <si>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</si>
  <si>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</si>
  <si>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</si>
  <si>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</si>
  <si>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</si>
  <si>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</si>
  <si>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</si>
  <si>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</si>
  <si>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</si>
  <si>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</si>
  <si>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</si>
  <si>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</si>
  <si>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</si>
  <si>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</si>
  <si>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</si>
  <si>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</si>
  <si>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</si>
  <si>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</si>
  <si>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</si>
  <si>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</si>
  <si>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</si>
  <si>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</si>
  <si>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103</t>
    <phoneticPr fontId="2"/>
  </si>
  <si>
    <t>8</t>
    <phoneticPr fontId="2"/>
  </si>
  <si>
    <t>4</t>
    <phoneticPr fontId="2"/>
  </si>
  <si>
    <t>28</t>
    <phoneticPr fontId="2"/>
  </si>
  <si>
    <t>70</t>
    <phoneticPr fontId="2"/>
  </si>
  <si>
    <t>43</t>
    <phoneticPr fontId="2"/>
  </si>
  <si>
    <t>170</t>
    <phoneticPr fontId="2"/>
  </si>
  <si>
    <t>56</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</si>
  <si>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</si>
  <si>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</si>
  <si>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</si>
  <si>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</si>
  <si>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</si>
  <si>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</si>
  <si>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</si>
  <si>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</si>
  <si>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</si>
  <si>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</si>
  <si>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</si>
  <si>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</si>
  <si>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</si>
  <si>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</si>
  <si>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</si>
  <si>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</si>
  <si>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195</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</si>
  <si>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</si>
  <si>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</si>
  <si>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</si>
  <si>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</si>
  <si>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</si>
  <si>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</si>
  <si>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</si>
  <si>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</si>
  <si>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</si>
  <si>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</si>
  <si>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</si>
  <si>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9</t>
    <phoneticPr fontId="2"/>
  </si>
  <si>
    <t>2</t>
    <phoneticPr fontId="2"/>
  </si>
  <si>
    <t>27</t>
    <phoneticPr fontId="2"/>
  </si>
  <si>
    <t>68</t>
    <phoneticPr fontId="2"/>
  </si>
  <si>
    <t>46</t>
    <phoneticPr fontId="2"/>
  </si>
  <si>
    <t>24.7</t>
    <phoneticPr fontId="2"/>
  </si>
  <si>
    <t>50</t>
    <phoneticPr fontId="2"/>
  </si>
  <si>
    <t>173</t>
    <phoneticPr fontId="2"/>
  </si>
  <si>
    <t>49</t>
    <phoneticPr fontId="2"/>
  </si>
  <si>
    <t>47</t>
    <phoneticPr fontId="2"/>
  </si>
  <si>
    <t>142</t>
    <phoneticPr fontId="2"/>
  </si>
  <si>
    <t>178</t>
    <phoneticPr fontId="2"/>
  </si>
  <si>
    <t>7</t>
    <phoneticPr fontId="2"/>
  </si>
  <si>
    <t>163</t>
    <phoneticPr fontId="2"/>
  </si>
  <si>
    <t>20.2</t>
    <phoneticPr fontId="2"/>
  </si>
  <si>
    <t>186</t>
    <phoneticPr fontId="2"/>
  </si>
  <si>
    <t>198</t>
    <phoneticPr fontId="2"/>
  </si>
  <si>
    <t>0.87</t>
    <phoneticPr fontId="2"/>
  </si>
  <si>
    <t>3</t>
    <phoneticPr fontId="2"/>
  </si>
  <si>
    <t>19</t>
    <phoneticPr fontId="2"/>
  </si>
  <si>
    <t>42</t>
    <phoneticPr fontId="2"/>
  </si>
  <si>
    <t>54</t>
    <phoneticPr fontId="2"/>
  </si>
  <si>
    <t>25.5</t>
    <phoneticPr fontId="2"/>
  </si>
  <si>
    <t>31</t>
    <phoneticPr fontId="2"/>
  </si>
  <si>
    <t>7.40</t>
    <phoneticPr fontId="2"/>
  </si>
  <si>
    <t>172</t>
    <phoneticPr fontId="2"/>
  </si>
  <si>
    <t>19.4</t>
    <phoneticPr fontId="2"/>
  </si>
  <si>
    <t>183</t>
    <phoneticPr fontId="2"/>
  </si>
  <si>
    <t>184</t>
    <phoneticPr fontId="2"/>
  </si>
  <si>
    <t>90</t>
    <phoneticPr fontId="2"/>
  </si>
  <si>
    <t>21.5</t>
    <phoneticPr fontId="2"/>
  </si>
  <si>
    <t>25</t>
    <phoneticPr fontId="2"/>
  </si>
  <si>
    <t>63</t>
    <phoneticPr fontId="2"/>
  </si>
  <si>
    <t>0.84</t>
    <phoneticPr fontId="2"/>
  </si>
  <si>
    <t>148</t>
    <phoneticPr fontId="2"/>
  </si>
  <si>
    <t>200</t>
    <phoneticPr fontId="2"/>
  </si>
  <si>
    <t>107</t>
    <phoneticPr fontId="2"/>
  </si>
  <si>
    <t>78</t>
    <phoneticPr fontId="2"/>
  </si>
  <si>
    <t>55</t>
    <phoneticPr fontId="2"/>
  </si>
  <si>
    <t>25.2</t>
    <phoneticPr fontId="2"/>
  </si>
  <si>
    <t>18.5</t>
    <phoneticPr fontId="2"/>
  </si>
  <si>
    <t>0.94</t>
    <phoneticPr fontId="2"/>
  </si>
  <si>
    <t>185</t>
    <phoneticPr fontId="2"/>
  </si>
  <si>
    <t>188</t>
    <phoneticPr fontId="2"/>
  </si>
  <si>
    <t>23.4</t>
    <phoneticPr fontId="2"/>
  </si>
  <si>
    <t>59</t>
    <phoneticPr fontId="2"/>
  </si>
  <si>
    <t>0.180</t>
    <phoneticPr fontId="2"/>
  </si>
  <si>
    <t>102</t>
    <phoneticPr fontId="2"/>
  </si>
  <si>
    <t>34</t>
    <phoneticPr fontId="2"/>
  </si>
  <si>
    <t>27.2</t>
    <phoneticPr fontId="2"/>
  </si>
  <si>
    <t>165</t>
    <phoneticPr fontId="2"/>
  </si>
  <si>
    <t>0.85</t>
    <phoneticPr fontId="2"/>
  </si>
  <si>
    <t>171</t>
    <phoneticPr fontId="2"/>
  </si>
  <si>
    <t>21.8</t>
    <phoneticPr fontId="2"/>
  </si>
  <si>
    <t>22</t>
    <phoneticPr fontId="2"/>
  </si>
  <si>
    <t>1.13</t>
    <phoneticPr fontId="2"/>
  </si>
  <si>
    <t>153</t>
    <phoneticPr fontId="2"/>
  </si>
  <si>
    <t>88</t>
    <phoneticPr fontId="2"/>
  </si>
  <si>
    <t>34.4</t>
    <phoneticPr fontId="2"/>
  </si>
  <si>
    <t>38</t>
    <phoneticPr fontId="2"/>
  </si>
  <si>
    <t>95</t>
    <phoneticPr fontId="2"/>
  </si>
  <si>
    <t>154</t>
    <phoneticPr fontId="2"/>
  </si>
  <si>
    <t>45</t>
    <phoneticPr fontId="2"/>
  </si>
  <si>
    <t>21.6</t>
    <phoneticPr fontId="2"/>
  </si>
  <si>
    <t>20.4</t>
    <phoneticPr fontId="2"/>
  </si>
  <si>
    <t>0.96</t>
    <phoneticPr fontId="2"/>
  </si>
  <si>
    <t>0.161</t>
    <phoneticPr fontId="2"/>
  </si>
  <si>
    <t>15</t>
    <phoneticPr fontId="2"/>
  </si>
  <si>
    <t>25.9</t>
    <phoneticPr fontId="2"/>
  </si>
  <si>
    <t>27.3</t>
    <phoneticPr fontId="2"/>
  </si>
  <si>
    <t>0.200</t>
    <phoneticPr fontId="2"/>
  </si>
  <si>
    <t>0.99</t>
    <phoneticPr fontId="2"/>
  </si>
  <si>
    <t>24.5</t>
    <phoneticPr fontId="2"/>
  </si>
  <si>
    <t>11歳</t>
  </si>
  <si>
    <t>男性</t>
  </si>
  <si>
    <t>女性</t>
  </si>
  <si>
    <t>10歳</t>
  </si>
  <si>
    <t>13歳</t>
  </si>
  <si>
    <t>1.02</t>
    <phoneticPr fontId="2"/>
  </si>
  <si>
    <t>12.9</t>
    <phoneticPr fontId="2"/>
  </si>
  <si>
    <t>27.5</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</si>
  <si>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</si>
  <si>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</si>
  <si>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石川　基</t>
    <phoneticPr fontId="2"/>
  </si>
  <si>
    <t>2014/10/17</t>
    <phoneticPr fontId="2"/>
  </si>
  <si>
    <t>155</t>
    <phoneticPr fontId="2"/>
  </si>
  <si>
    <t>20.1</t>
    <phoneticPr fontId="2"/>
  </si>
  <si>
    <t>0.93</t>
    <phoneticPr fontId="2"/>
  </si>
  <si>
    <t>29</t>
    <phoneticPr fontId="2"/>
  </si>
  <si>
    <t>73</t>
    <phoneticPr fontId="2"/>
  </si>
  <si>
    <t>23.2</t>
    <phoneticPr fontId="2"/>
  </si>
  <si>
    <t>174</t>
    <phoneticPr fontId="2"/>
  </si>
  <si>
    <t>52</t>
    <phoneticPr fontId="2"/>
  </si>
  <si>
    <t>1</t>
    <phoneticPr fontId="2"/>
  </si>
  <si>
    <t>19.2</t>
    <phoneticPr fontId="2"/>
  </si>
  <si>
    <t>0.98</t>
    <phoneticPr fontId="2"/>
  </si>
  <si>
    <t>24.2</t>
    <phoneticPr fontId="2"/>
  </si>
  <si>
    <t>15.0</t>
    <phoneticPr fontId="2"/>
  </si>
  <si>
    <t>川﨑　遥斗</t>
    <phoneticPr fontId="2"/>
  </si>
  <si>
    <t>2013/05/15</t>
    <phoneticPr fontId="2"/>
  </si>
  <si>
    <t>179</t>
    <phoneticPr fontId="2"/>
  </si>
  <si>
    <t>0.95</t>
    <phoneticPr fontId="2"/>
  </si>
  <si>
    <t>21.4</t>
    <phoneticPr fontId="2"/>
  </si>
  <si>
    <t>0.90</t>
    <phoneticPr fontId="2"/>
  </si>
  <si>
    <t>97</t>
    <phoneticPr fontId="2"/>
  </si>
  <si>
    <t>39</t>
    <phoneticPr fontId="2"/>
  </si>
  <si>
    <t>21</t>
    <phoneticPr fontId="2"/>
  </si>
  <si>
    <t>佐藤　友悠</t>
    <phoneticPr fontId="2"/>
  </si>
  <si>
    <t>2015/04/10</t>
    <phoneticPr fontId="2"/>
  </si>
  <si>
    <t>18.8</t>
    <phoneticPr fontId="2"/>
  </si>
  <si>
    <t>131</t>
    <phoneticPr fontId="2"/>
  </si>
  <si>
    <t>島田　龍空</t>
    <phoneticPr fontId="2"/>
  </si>
  <si>
    <t>2011/04/22</t>
    <phoneticPr fontId="2"/>
  </si>
  <si>
    <t>13.0</t>
    <phoneticPr fontId="2"/>
  </si>
  <si>
    <t>96</t>
    <phoneticPr fontId="2"/>
  </si>
  <si>
    <t>島田　和空</t>
    <phoneticPr fontId="2"/>
  </si>
  <si>
    <t>150</t>
    <phoneticPr fontId="2"/>
  </si>
  <si>
    <t>30</t>
    <phoneticPr fontId="2"/>
  </si>
  <si>
    <t>75</t>
    <phoneticPr fontId="2"/>
  </si>
  <si>
    <t>20</t>
    <phoneticPr fontId="2"/>
  </si>
  <si>
    <t>60</t>
    <phoneticPr fontId="2"/>
  </si>
  <si>
    <t>陸上長距離</t>
    <phoneticPr fontId="2"/>
  </si>
  <si>
    <t>144</t>
    <phoneticPr fontId="2"/>
  </si>
  <si>
    <t>156</t>
    <phoneticPr fontId="2"/>
  </si>
  <si>
    <t>182</t>
    <phoneticPr fontId="2"/>
  </si>
  <si>
    <t>187</t>
    <phoneticPr fontId="2"/>
  </si>
  <si>
    <t>22.1</t>
    <phoneticPr fontId="2"/>
  </si>
  <si>
    <t>0.168</t>
    <phoneticPr fontId="2"/>
  </si>
  <si>
    <t>24.4</t>
    <phoneticPr fontId="2"/>
  </si>
  <si>
    <t>玉川　葵</t>
    <phoneticPr fontId="2"/>
  </si>
  <si>
    <t>2014/03/04</t>
    <phoneticPr fontId="2"/>
  </si>
  <si>
    <t>競泳（クロール）、自転車長距離</t>
    <phoneticPr fontId="2"/>
  </si>
  <si>
    <t>193</t>
    <phoneticPr fontId="2"/>
  </si>
  <si>
    <t>玉川　風音</t>
    <phoneticPr fontId="2"/>
  </si>
  <si>
    <t>2015/06/15</t>
    <phoneticPr fontId="2"/>
  </si>
  <si>
    <t>194</t>
    <phoneticPr fontId="2"/>
  </si>
  <si>
    <t>196</t>
    <phoneticPr fontId="2"/>
  </si>
  <si>
    <t>140.8</t>
    <phoneticPr fontId="2"/>
  </si>
  <si>
    <t>0.177</t>
    <phoneticPr fontId="2"/>
  </si>
  <si>
    <t>24.1</t>
    <phoneticPr fontId="2"/>
  </si>
  <si>
    <t>159</t>
    <phoneticPr fontId="2"/>
  </si>
  <si>
    <t>61</t>
    <phoneticPr fontId="2"/>
  </si>
  <si>
    <t>160</t>
    <phoneticPr fontId="2"/>
  </si>
  <si>
    <t>191</t>
    <phoneticPr fontId="2"/>
  </si>
  <si>
    <t>33.8</t>
    <phoneticPr fontId="2"/>
  </si>
  <si>
    <t>25.3</t>
    <phoneticPr fontId="2"/>
  </si>
  <si>
    <t>189</t>
    <phoneticPr fontId="2"/>
  </si>
  <si>
    <t>130</t>
    <phoneticPr fontId="2"/>
  </si>
  <si>
    <t>22.0</t>
    <phoneticPr fontId="2"/>
  </si>
  <si>
    <t>19.7</t>
    <phoneticPr fontId="2"/>
  </si>
  <si>
    <t>6.90</t>
    <phoneticPr fontId="2"/>
  </si>
  <si>
    <t>小倉　丈</t>
    <phoneticPr fontId="2"/>
  </si>
  <si>
    <t>2013/06/12</t>
    <phoneticPr fontId="2"/>
  </si>
  <si>
    <t>テニス</t>
    <phoneticPr fontId="2"/>
  </si>
  <si>
    <t>180</t>
    <phoneticPr fontId="2"/>
  </si>
  <si>
    <t>93</t>
    <phoneticPr fontId="2"/>
  </si>
  <si>
    <t>53</t>
    <phoneticPr fontId="2"/>
  </si>
  <si>
    <t>17.0</t>
    <phoneticPr fontId="2"/>
  </si>
  <si>
    <t>0.78</t>
    <phoneticPr fontId="2"/>
  </si>
  <si>
    <t>164</t>
    <phoneticPr fontId="2"/>
  </si>
  <si>
    <t>小倉　大河</t>
    <phoneticPr fontId="2"/>
  </si>
  <si>
    <t>2011/03/06</t>
    <phoneticPr fontId="2"/>
  </si>
  <si>
    <t>中3</t>
    <phoneticPr fontId="2"/>
  </si>
  <si>
    <t>145</t>
    <phoneticPr fontId="2"/>
  </si>
  <si>
    <t>23</t>
    <phoneticPr fontId="2"/>
  </si>
  <si>
    <t>0.86</t>
    <phoneticPr fontId="2"/>
  </si>
  <si>
    <t>16</t>
    <phoneticPr fontId="2"/>
  </si>
  <si>
    <t>5.80</t>
    <phoneticPr fontId="2"/>
  </si>
  <si>
    <t>58</t>
    <phoneticPr fontId="2"/>
  </si>
  <si>
    <t>24</t>
    <phoneticPr fontId="2"/>
  </si>
  <si>
    <t>飯野　煌心</t>
    <phoneticPr fontId="2"/>
  </si>
  <si>
    <t>2017/08/28</t>
    <phoneticPr fontId="2"/>
  </si>
  <si>
    <t>小2</t>
    <phoneticPr fontId="2"/>
  </si>
  <si>
    <t>4.10</t>
    <phoneticPr fontId="2"/>
  </si>
  <si>
    <t>1.04</t>
    <phoneticPr fontId="2"/>
  </si>
  <si>
    <t>17.1</t>
    <phoneticPr fontId="2"/>
  </si>
  <si>
    <t>飯野　蓮凰</t>
    <phoneticPr fontId="2"/>
  </si>
  <si>
    <t>2018/10/10</t>
    <phoneticPr fontId="2"/>
  </si>
  <si>
    <t>12</t>
    <phoneticPr fontId="2"/>
  </si>
  <si>
    <t>0.88</t>
    <phoneticPr fontId="2"/>
  </si>
  <si>
    <t>飯野　簾斗</t>
    <phoneticPr fontId="2"/>
  </si>
  <si>
    <t>2013/05/14</t>
    <phoneticPr fontId="2"/>
  </si>
  <si>
    <t>190</t>
    <phoneticPr fontId="2"/>
  </si>
  <si>
    <t>192</t>
    <phoneticPr fontId="2"/>
  </si>
  <si>
    <t>0.79</t>
    <phoneticPr fontId="2"/>
  </si>
  <si>
    <t>16.7</t>
    <phoneticPr fontId="2"/>
  </si>
  <si>
    <t>15.4</t>
    <phoneticPr fontId="2"/>
  </si>
  <si>
    <t>149</t>
    <phoneticPr fontId="2"/>
  </si>
  <si>
    <t>8.10</t>
    <phoneticPr fontId="2"/>
  </si>
  <si>
    <t>0.70</t>
    <phoneticPr fontId="2"/>
  </si>
  <si>
    <t>5.0</t>
    <phoneticPr fontId="2"/>
  </si>
  <si>
    <t>14</t>
    <phoneticPr fontId="2"/>
  </si>
  <si>
    <t>18.0</t>
    <phoneticPr fontId="2"/>
  </si>
  <si>
    <t>臼井　遥香</t>
    <phoneticPr fontId="2"/>
  </si>
  <si>
    <t>2016/03/26</t>
    <phoneticPr fontId="2"/>
  </si>
  <si>
    <t>136</t>
    <phoneticPr fontId="2"/>
  </si>
  <si>
    <t>0.83</t>
    <phoneticPr fontId="2"/>
  </si>
  <si>
    <t>臼井　結香</t>
    <phoneticPr fontId="2"/>
  </si>
  <si>
    <t>2014/09/14</t>
    <phoneticPr fontId="2"/>
  </si>
  <si>
    <t>競泳（クロール）</t>
    <phoneticPr fontId="2"/>
  </si>
  <si>
    <t>8.20</t>
    <phoneticPr fontId="2"/>
  </si>
  <si>
    <t>20.5</t>
    <phoneticPr fontId="2"/>
  </si>
  <si>
    <t>23.6</t>
    <phoneticPr fontId="2"/>
  </si>
  <si>
    <t>加藤　千空</t>
    <phoneticPr fontId="2"/>
  </si>
  <si>
    <t>2012/11/11</t>
    <phoneticPr fontId="2"/>
  </si>
  <si>
    <t>競泳（平泳ぎ）</t>
    <phoneticPr fontId="2"/>
  </si>
  <si>
    <t>147</t>
    <phoneticPr fontId="2"/>
  </si>
  <si>
    <t>101</t>
    <phoneticPr fontId="2"/>
  </si>
  <si>
    <t>32</t>
    <phoneticPr fontId="2"/>
  </si>
  <si>
    <t>80</t>
    <phoneticPr fontId="2"/>
  </si>
  <si>
    <t>加藤　怜</t>
    <phoneticPr fontId="2"/>
  </si>
  <si>
    <t>26.4</t>
    <phoneticPr fontId="2"/>
  </si>
  <si>
    <t>24.3</t>
    <phoneticPr fontId="2"/>
  </si>
  <si>
    <t>140</t>
    <phoneticPr fontId="2"/>
  </si>
  <si>
    <t>1.15</t>
    <phoneticPr fontId="2"/>
  </si>
  <si>
    <t>20.8</t>
    <phoneticPr fontId="2"/>
  </si>
  <si>
    <t>648</t>
    <phoneticPr fontId="2"/>
  </si>
  <si>
    <t>6.56</t>
    <phoneticPr fontId="2"/>
  </si>
  <si>
    <t>清水　稜生</t>
    <phoneticPr fontId="2"/>
  </si>
  <si>
    <t>2017/03/23</t>
    <phoneticPr fontId="2"/>
  </si>
  <si>
    <t>0.97</t>
    <phoneticPr fontId="2"/>
  </si>
  <si>
    <t>130.3</t>
    <phoneticPr fontId="2"/>
  </si>
  <si>
    <t>0.80</t>
    <phoneticPr fontId="2"/>
  </si>
  <si>
    <t>鶴見　蓮音</t>
    <phoneticPr fontId="2"/>
  </si>
  <si>
    <t>2014/03/25</t>
    <phoneticPr fontId="2"/>
  </si>
  <si>
    <t>167</t>
    <phoneticPr fontId="2"/>
  </si>
  <si>
    <t>85</t>
    <phoneticPr fontId="2"/>
  </si>
  <si>
    <t>29.2</t>
    <phoneticPr fontId="2"/>
  </si>
  <si>
    <t>26.7</t>
    <phoneticPr fontId="2"/>
  </si>
  <si>
    <t>0.186</t>
    <phoneticPr fontId="2"/>
  </si>
  <si>
    <t>永井　悠太郎</t>
    <phoneticPr fontId="2"/>
  </si>
  <si>
    <t>2014/05/13</t>
    <phoneticPr fontId="2"/>
  </si>
  <si>
    <t>1.32</t>
    <phoneticPr fontId="2"/>
  </si>
  <si>
    <t>157</t>
    <phoneticPr fontId="2"/>
  </si>
  <si>
    <t>1.00</t>
    <phoneticPr fontId="2"/>
  </si>
  <si>
    <t>24.6</t>
    <phoneticPr fontId="2"/>
  </si>
  <si>
    <t>1.12</t>
    <phoneticPr fontId="2"/>
  </si>
  <si>
    <t>152</t>
    <phoneticPr fontId="2"/>
  </si>
  <si>
    <t>162</t>
    <phoneticPr fontId="2"/>
  </si>
  <si>
    <t>24.9</t>
    <phoneticPr fontId="2"/>
  </si>
  <si>
    <t>宮本　絢菜</t>
    <phoneticPr fontId="2"/>
  </si>
  <si>
    <t>2015/03/28</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</si>
  <si>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</si>
  <si>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</si>
  <si>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</si>
  <si>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</si>
  <si>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</si>
  <si>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小2</t>
  </si>
  <si>
    <t>小5</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</si>
  <si>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</si>
  <si>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</si>
  <si>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</si>
  <si>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</si>
  <si>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</si>
  <si>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</si>
  <si>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</si>
  <si>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</si>
  <si>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</si>
  <si>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</si>
  <si>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</si>
  <si>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</si>
  <si>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</si>
  <si>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</si>
  <si>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</si>
  <si>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</si>
  <si>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</si>
  <si>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</si>
  <si>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</si>
  <si>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</si>
  <si>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</si>
  <si>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</si>
  <si>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</si>
  <si>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</si>
  <si>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</si>
  <si>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</si>
  <si>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</si>
  <si>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</si>
  <si>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</si>
  <si>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</si>
  <si>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</si>
  <si>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</si>
  <si>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</si>
  <si>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</si>
  <si>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</si>
  <si>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</si>
  <si>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</si>
  <si>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</si>
  <si>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</si>
  <si>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</si>
  <si>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</si>
  <si>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</si>
  <si>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</si>
  <si>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</si>
  <si>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</si>
  <si>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</si>
  <si>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</si>
  <si>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</si>
  <si>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</si>
  <si>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</si>
  <si>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</si>
  <si>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</si>
  <si>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</si>
  <si>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</si>
  <si>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</si>
  <si>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</si>
  <si>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</si>
  <si>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</si>
  <si>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</si>
  <si>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</si>
  <si>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</si>
  <si>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</si>
  <si>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</si>
  <si>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</si>
  <si>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</si>
  <si>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</si>
  <si>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</si>
  <si>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</si>
  <si>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</si>
  <si>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</si>
  <si>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</si>
  <si>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</si>
  <si>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</si>
  <si>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</si>
  <si>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</si>
  <si>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</si>
  <si>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</si>
  <si>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</si>
  <si>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</si>
  <si>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</si>
  <si>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</si>
  <si>
    <t>1.10</t>
    <phoneticPr fontId="2"/>
  </si>
  <si>
    <t>19.3</t>
    <phoneticPr fontId="2"/>
  </si>
  <si>
    <t>22.8</t>
    <phoneticPr fontId="2"/>
  </si>
  <si>
    <t>1.01</t>
    <phoneticPr fontId="2"/>
  </si>
  <si>
    <t>1.05</t>
    <phoneticPr fontId="2"/>
  </si>
  <si>
    <t>19.5</t>
    <phoneticPr fontId="2"/>
  </si>
  <si>
    <t>23.7</t>
    <phoneticPr fontId="2"/>
  </si>
  <si>
    <t>33</t>
    <phoneticPr fontId="2"/>
  </si>
  <si>
    <t>83</t>
    <phoneticPr fontId="2"/>
  </si>
  <si>
    <t>30.0</t>
    <phoneticPr fontId="2"/>
  </si>
  <si>
    <t>139</t>
    <phoneticPr fontId="2"/>
  </si>
  <si>
    <t>16.6</t>
    <phoneticPr fontId="2"/>
  </si>
  <si>
    <t>17.7</t>
    <phoneticPr fontId="2"/>
  </si>
  <si>
    <t>20.0</t>
    <phoneticPr fontId="2"/>
  </si>
  <si>
    <t>1.14</t>
    <phoneticPr fontId="2"/>
  </si>
  <si>
    <t>18.9</t>
    <phoneticPr fontId="2"/>
  </si>
  <si>
    <t>23.5</t>
    <phoneticPr fontId="2"/>
  </si>
  <si>
    <t>146</t>
    <phoneticPr fontId="2"/>
  </si>
  <si>
    <t>9.40</t>
    <phoneticPr fontId="2"/>
  </si>
  <si>
    <t>22.9</t>
    <phoneticPr fontId="2"/>
  </si>
  <si>
    <t>51</t>
    <phoneticPr fontId="2"/>
  </si>
  <si>
    <t>20.7</t>
    <phoneticPr fontId="2"/>
  </si>
  <si>
    <t>29.6</t>
    <phoneticPr fontId="2"/>
  </si>
  <si>
    <t>7.80</t>
    <phoneticPr fontId="2"/>
  </si>
  <si>
    <t>0.218</t>
    <phoneticPr fontId="2"/>
  </si>
  <si>
    <t>0.189</t>
    <phoneticPr fontId="2"/>
  </si>
  <si>
    <t>大塚　直幸</t>
    <phoneticPr fontId="2"/>
  </si>
  <si>
    <t>2015/04/18</t>
    <phoneticPr fontId="2"/>
  </si>
  <si>
    <t>22.7</t>
    <phoneticPr fontId="2"/>
  </si>
  <si>
    <t>38.0</t>
    <phoneticPr fontId="2"/>
  </si>
  <si>
    <t>0.194</t>
    <phoneticPr fontId="2"/>
  </si>
  <si>
    <t>27.4</t>
    <phoneticPr fontId="2"/>
  </si>
  <si>
    <t>123</t>
    <phoneticPr fontId="2"/>
  </si>
  <si>
    <t>18.3</t>
    <phoneticPr fontId="2"/>
  </si>
  <si>
    <t>580</t>
    <phoneticPr fontId="2"/>
  </si>
  <si>
    <t>大橋　優那</t>
    <phoneticPr fontId="2"/>
  </si>
  <si>
    <t>2012/02/26</t>
    <phoneticPr fontId="2"/>
  </si>
  <si>
    <t>23.8</t>
    <phoneticPr fontId="2"/>
  </si>
  <si>
    <t>0.74</t>
    <phoneticPr fontId="2"/>
  </si>
  <si>
    <t>21.9</t>
    <phoneticPr fontId="2"/>
  </si>
  <si>
    <t>9.90</t>
    <phoneticPr fontId="2"/>
  </si>
  <si>
    <t>13.4</t>
    <phoneticPr fontId="2"/>
  </si>
  <si>
    <t>12.2</t>
    <phoneticPr fontId="2"/>
  </si>
  <si>
    <t>25.7</t>
    <phoneticPr fontId="2"/>
  </si>
  <si>
    <t>9.00</t>
    <phoneticPr fontId="2"/>
  </si>
  <si>
    <t>28.2</t>
    <phoneticPr fontId="2"/>
  </si>
  <si>
    <t>28.8</t>
    <phoneticPr fontId="2"/>
  </si>
  <si>
    <t>36.3</t>
    <phoneticPr fontId="2"/>
  </si>
  <si>
    <t>107.30</t>
    <phoneticPr fontId="2"/>
  </si>
  <si>
    <t>16.0</t>
    <phoneticPr fontId="2"/>
  </si>
  <si>
    <t>141</t>
    <phoneticPr fontId="2"/>
  </si>
  <si>
    <t>133</t>
    <phoneticPr fontId="2"/>
  </si>
  <si>
    <t>22.6</t>
    <phoneticPr fontId="2"/>
  </si>
  <si>
    <t>575</t>
    <phoneticPr fontId="2"/>
  </si>
  <si>
    <t>13.54</t>
    <phoneticPr fontId="2"/>
  </si>
  <si>
    <t>21.0</t>
    <phoneticPr fontId="2"/>
  </si>
  <si>
    <t>久保田　葵</t>
    <phoneticPr fontId="2"/>
  </si>
  <si>
    <t>2015/07/17</t>
    <phoneticPr fontId="2"/>
  </si>
  <si>
    <t>テニス、陸上短距離・跳躍</t>
    <phoneticPr fontId="2"/>
  </si>
  <si>
    <t>202</t>
    <phoneticPr fontId="2"/>
  </si>
  <si>
    <t>138</t>
    <phoneticPr fontId="2"/>
  </si>
  <si>
    <t>7.07</t>
    <phoneticPr fontId="2"/>
  </si>
  <si>
    <t>肥塚　紗月</t>
    <phoneticPr fontId="2"/>
  </si>
  <si>
    <t>2011/06/17</t>
    <phoneticPr fontId="2"/>
  </si>
  <si>
    <t>0.164</t>
    <phoneticPr fontId="2"/>
  </si>
  <si>
    <t>1.17</t>
    <phoneticPr fontId="2"/>
  </si>
  <si>
    <t>47.7</t>
    <phoneticPr fontId="2"/>
  </si>
  <si>
    <t>149.4</t>
    <phoneticPr fontId="2"/>
  </si>
  <si>
    <t>島田　莉由</t>
    <phoneticPr fontId="2"/>
  </si>
  <si>
    <t>2015/01/27</t>
    <phoneticPr fontId="2"/>
  </si>
  <si>
    <t>0.172</t>
    <phoneticPr fontId="2"/>
  </si>
  <si>
    <t>104</t>
    <phoneticPr fontId="2"/>
  </si>
  <si>
    <t>1.16</t>
    <phoneticPr fontId="2"/>
  </si>
  <si>
    <t>8.40</t>
    <phoneticPr fontId="2"/>
  </si>
  <si>
    <t>28.5</t>
    <phoneticPr fontId="2"/>
  </si>
  <si>
    <t>98</t>
    <phoneticPr fontId="2"/>
  </si>
  <si>
    <t>鈴木　遼太郎</t>
    <phoneticPr fontId="2"/>
  </si>
  <si>
    <t>2014/06/03</t>
    <phoneticPr fontId="2"/>
  </si>
  <si>
    <t>27.8</t>
    <phoneticPr fontId="2"/>
  </si>
  <si>
    <t>0.166</t>
    <phoneticPr fontId="2"/>
  </si>
  <si>
    <t>16.8</t>
    <phoneticPr fontId="2"/>
  </si>
  <si>
    <t>141.1</t>
    <phoneticPr fontId="2"/>
  </si>
  <si>
    <t>544</t>
    <phoneticPr fontId="2"/>
  </si>
  <si>
    <t>8.50</t>
    <phoneticPr fontId="2"/>
  </si>
  <si>
    <t>手塚　みお</t>
    <phoneticPr fontId="2"/>
  </si>
  <si>
    <t>2014/02/13</t>
    <phoneticPr fontId="2"/>
  </si>
  <si>
    <t>6.53</t>
    <phoneticPr fontId="2"/>
  </si>
  <si>
    <t>6.72</t>
    <phoneticPr fontId="2"/>
  </si>
  <si>
    <t>1.11</t>
    <phoneticPr fontId="2"/>
  </si>
  <si>
    <t>552</t>
    <phoneticPr fontId="2"/>
  </si>
  <si>
    <t>21.3</t>
    <phoneticPr fontId="2"/>
  </si>
  <si>
    <t>23.3</t>
    <phoneticPr fontId="2"/>
  </si>
  <si>
    <t>堀田　雄聖</t>
    <phoneticPr fontId="2"/>
  </si>
  <si>
    <t>2015/04/11</t>
    <phoneticPr fontId="2"/>
  </si>
  <si>
    <t>14.36</t>
    <phoneticPr fontId="2"/>
  </si>
  <si>
    <t>6.39</t>
    <phoneticPr fontId="2"/>
  </si>
  <si>
    <t>山本　春稀</t>
    <phoneticPr fontId="2"/>
  </si>
  <si>
    <t>2016/03/27</t>
    <phoneticPr fontId="2"/>
  </si>
  <si>
    <t>0.197</t>
    <phoneticPr fontId="2"/>
  </si>
  <si>
    <t>0.185</t>
    <phoneticPr fontId="2"/>
  </si>
  <si>
    <t>0.224</t>
    <phoneticPr fontId="2"/>
  </si>
  <si>
    <t>16.2</t>
    <phoneticPr fontId="2"/>
  </si>
  <si>
    <t>7歳</t>
  </si>
  <si>
    <t>前回の測定より6点アップしました！今回は連続ジャンプ・速度維持率・目の動き（眼球運動）・周りを見る力（周辺視）が伸びています。特に連続ジャンプは学年平均を上回っており、ジャンプを続ける力がついてきました。さらに、速いスピードを保ったまま速度維持率が上がっているので、ダッシュを何回もくり返す力が前より高くなっています！この調子でトレーニングを続けていこう！３月は瞬発力で自己ベストがとれるように、スキップを練習してみよう！</t>
    <rPh sb="179" eb="180">
      <t>ガツ</t>
    </rPh>
    <rPh sb="181" eb="184">
      <t>シュンパツリョク</t>
    </rPh>
    <rPh sb="185" eb="187">
      <t>ジコ</t>
    </rPh>
    <rPh sb="203" eb="205">
      <t>レンシュウ</t>
    </rPh>
    <phoneticPr fontId="2"/>
  </si>
  <si>
    <t>今回のフィールドテストでは、スクワットジャンプと垂直跳びが伸びて、自己ベスト更新でした！この2つは足のパワー（強くふみこむ力）を見る種目なので、晴義くんの体を動かす力がしっかりついてきたということです。
次は、このパワーを走る・跳ぶなどの動きにつなげていこう。まずは毎週のトレーニングで、フォーム（体の動かし方）を意識して取り組んでみよう！</t>
    <phoneticPr fontId="2"/>
  </si>
  <si>
    <t>0.232</t>
    <phoneticPr fontId="2"/>
  </si>
  <si>
    <t>10.7</t>
    <phoneticPr fontId="2"/>
  </si>
  <si>
    <t>1.53</t>
    <phoneticPr fontId="2"/>
  </si>
  <si>
    <t>追田　理仁</t>
    <phoneticPr fontId="2"/>
  </si>
  <si>
    <t>2016/08/03</t>
    <phoneticPr fontId="2"/>
  </si>
  <si>
    <t>バスケットボール、競泳（クロール）</t>
    <phoneticPr fontId="2"/>
  </si>
  <si>
    <t>6.68</t>
    <phoneticPr fontId="2"/>
  </si>
  <si>
    <t>13.07</t>
    <phoneticPr fontId="2"/>
  </si>
  <si>
    <t>45.1</t>
    <phoneticPr fontId="2"/>
  </si>
  <si>
    <t>540</t>
    <phoneticPr fontId="2"/>
  </si>
  <si>
    <t>13.34</t>
    <phoneticPr fontId="2"/>
  </si>
  <si>
    <t>14.20</t>
    <phoneticPr fontId="2"/>
  </si>
  <si>
    <t>92</t>
    <phoneticPr fontId="2"/>
  </si>
  <si>
    <t>602</t>
    <phoneticPr fontId="2"/>
  </si>
  <si>
    <t>132.8</t>
    <phoneticPr fontId="2"/>
  </si>
  <si>
    <t>0.142</t>
    <phoneticPr fontId="2"/>
  </si>
  <si>
    <t>13.00</t>
    <phoneticPr fontId="2"/>
  </si>
  <si>
    <t>1,040.06</t>
    <phoneticPr fontId="2"/>
  </si>
  <si>
    <t>141.9</t>
    <phoneticPr fontId="2"/>
  </si>
  <si>
    <t>611</t>
    <phoneticPr fontId="2"/>
  </si>
  <si>
    <t>北條　優空</t>
    <phoneticPr fontId="2"/>
  </si>
  <si>
    <t>2017/06/24</t>
    <phoneticPr fontId="2"/>
  </si>
  <si>
    <t>1.39</t>
    <phoneticPr fontId="2"/>
  </si>
  <si>
    <t>36</t>
    <phoneticPr fontId="2"/>
  </si>
  <si>
    <t>35.8</t>
    <phoneticPr fontId="2"/>
  </si>
  <si>
    <t>17.9</t>
    <phoneticPr fontId="2"/>
  </si>
  <si>
    <t>8.70</t>
    <phoneticPr fontId="2"/>
  </si>
  <si>
    <t>渡辺　華</t>
    <phoneticPr fontId="2"/>
  </si>
  <si>
    <t>2018/10/23</t>
    <phoneticPr fontId="2"/>
  </si>
  <si>
    <t>14.40</t>
    <phoneticPr fontId="2"/>
  </si>
  <si>
    <t>462</t>
    <phoneticPr fontId="2"/>
  </si>
  <si>
    <t>青木　里依奈</t>
    <phoneticPr fontId="2"/>
  </si>
  <si>
    <t>2018/02/17</t>
    <phoneticPr fontId="2"/>
  </si>
  <si>
    <t>2026/03/24</t>
    <phoneticPr fontId="2"/>
  </si>
  <si>
    <t>10.69</t>
    <phoneticPr fontId="2"/>
  </si>
  <si>
    <t>855.50</t>
    <phoneticPr fontId="2"/>
  </si>
  <si>
    <t>962.43</t>
    <phoneticPr fontId="2"/>
  </si>
  <si>
    <t>66.00</t>
    <phoneticPr fontId="2"/>
  </si>
  <si>
    <t>0.73</t>
    <phoneticPr fontId="2"/>
  </si>
  <si>
    <t>564</t>
    <phoneticPr fontId="2"/>
  </si>
  <si>
    <t>7.27</t>
    <phoneticPr fontId="2"/>
  </si>
  <si>
    <t>118.2</t>
    <phoneticPr fontId="2"/>
  </si>
  <si>
    <t>17.3</t>
    <phoneticPr fontId="2"/>
  </si>
  <si>
    <t>0.130</t>
    <phoneticPr fontId="2"/>
  </si>
  <si>
    <t>15.3</t>
    <phoneticPr fontId="2"/>
  </si>
  <si>
    <t>2026/03/27</t>
    <phoneticPr fontId="2"/>
  </si>
  <si>
    <t>11.51</t>
    <phoneticPr fontId="2"/>
  </si>
  <si>
    <t>921.45</t>
    <phoneticPr fontId="2"/>
  </si>
  <si>
    <t>1,036.63</t>
    <phoneticPr fontId="2"/>
  </si>
  <si>
    <t>113.50</t>
    <phoneticPr fontId="2"/>
  </si>
  <si>
    <t>17.8</t>
    <phoneticPr fontId="2"/>
  </si>
  <si>
    <t>357</t>
    <phoneticPr fontId="2"/>
  </si>
  <si>
    <t>8.28</t>
    <phoneticPr fontId="2"/>
  </si>
  <si>
    <t>23.9</t>
    <phoneticPr fontId="2"/>
  </si>
  <si>
    <t>127</t>
    <phoneticPr fontId="2"/>
  </si>
  <si>
    <t>11.74</t>
    <phoneticPr fontId="2"/>
  </si>
  <si>
    <t>939.24</t>
    <phoneticPr fontId="2"/>
  </si>
  <si>
    <t>1,056.64</t>
    <phoneticPr fontId="2"/>
  </si>
  <si>
    <t>92.50</t>
    <phoneticPr fontId="2"/>
  </si>
  <si>
    <t>9.80</t>
    <phoneticPr fontId="2"/>
  </si>
  <si>
    <t>14.4</t>
    <phoneticPr fontId="2"/>
  </si>
  <si>
    <t>293</t>
    <phoneticPr fontId="2"/>
  </si>
  <si>
    <t>119.2</t>
    <phoneticPr fontId="2"/>
  </si>
  <si>
    <t>6.5</t>
    <phoneticPr fontId="2"/>
  </si>
  <si>
    <t>7.5</t>
    <phoneticPr fontId="2"/>
  </si>
  <si>
    <t>8.72</t>
    <phoneticPr fontId="2"/>
  </si>
  <si>
    <t>697.90</t>
    <phoneticPr fontId="2"/>
  </si>
  <si>
    <t>785.14</t>
    <phoneticPr fontId="2"/>
  </si>
  <si>
    <t>-3.40</t>
    <phoneticPr fontId="2"/>
  </si>
  <si>
    <t>24.80</t>
    <phoneticPr fontId="2"/>
  </si>
  <si>
    <t>0.69</t>
    <phoneticPr fontId="2"/>
  </si>
  <si>
    <t>477</t>
    <phoneticPr fontId="2"/>
  </si>
  <si>
    <t>161.0</t>
    <phoneticPr fontId="2"/>
  </si>
  <si>
    <t>79.6</t>
    <phoneticPr fontId="2"/>
  </si>
  <si>
    <t>0.345</t>
    <phoneticPr fontId="2"/>
  </si>
  <si>
    <t>11.1</t>
    <phoneticPr fontId="2"/>
  </si>
  <si>
    <t>0.34</t>
    <phoneticPr fontId="2"/>
  </si>
  <si>
    <t>0</t>
    <phoneticPr fontId="2"/>
  </si>
  <si>
    <t>13.82</t>
    <phoneticPr fontId="2"/>
  </si>
  <si>
    <t>1,106.35</t>
    <phoneticPr fontId="2"/>
  </si>
  <si>
    <t>1,244.65</t>
    <phoneticPr fontId="2"/>
  </si>
  <si>
    <t>83.60</t>
    <phoneticPr fontId="2"/>
  </si>
  <si>
    <t>1.03</t>
    <phoneticPr fontId="2"/>
  </si>
  <si>
    <t>6.18</t>
    <phoneticPr fontId="2"/>
  </si>
  <si>
    <t>157.8</t>
    <phoneticPr fontId="2"/>
  </si>
  <si>
    <t>41.2</t>
    <phoneticPr fontId="2"/>
  </si>
  <si>
    <t>27.1</t>
    <phoneticPr fontId="2"/>
  </si>
  <si>
    <t>0.181</t>
    <phoneticPr fontId="2"/>
  </si>
  <si>
    <t>石﨑　みれい</t>
    <phoneticPr fontId="2"/>
  </si>
  <si>
    <t>2015/12/20</t>
    <phoneticPr fontId="2"/>
  </si>
  <si>
    <t>2026/03/23</t>
    <phoneticPr fontId="2"/>
  </si>
  <si>
    <t>12.95</t>
    <phoneticPr fontId="2"/>
  </si>
  <si>
    <t>1,036.37</t>
    <phoneticPr fontId="2"/>
  </si>
  <si>
    <t>1,165.92</t>
    <phoneticPr fontId="2"/>
  </si>
  <si>
    <t>126.00</t>
    <phoneticPr fontId="2"/>
  </si>
  <si>
    <t>5.50</t>
    <phoneticPr fontId="2"/>
  </si>
  <si>
    <t>7.48</t>
    <phoneticPr fontId="2"/>
  </si>
  <si>
    <t>131.7</t>
    <phoneticPr fontId="2"/>
  </si>
  <si>
    <t>0.175</t>
    <phoneticPr fontId="2"/>
  </si>
  <si>
    <t>134</t>
    <phoneticPr fontId="2"/>
  </si>
  <si>
    <t>市村　隆晟</t>
    <phoneticPr fontId="2"/>
  </si>
  <si>
    <t>2013/04/06</t>
    <phoneticPr fontId="2"/>
  </si>
  <si>
    <t>13.80</t>
    <phoneticPr fontId="2"/>
  </si>
  <si>
    <t>1,104.54</t>
    <phoneticPr fontId="2"/>
  </si>
  <si>
    <t>1,242.60</t>
    <phoneticPr fontId="2"/>
  </si>
  <si>
    <t>70.70</t>
    <phoneticPr fontId="2"/>
  </si>
  <si>
    <t>108</t>
    <phoneticPr fontId="2"/>
  </si>
  <si>
    <t>5.79</t>
    <phoneticPr fontId="2"/>
  </si>
  <si>
    <t>155.1</t>
    <phoneticPr fontId="2"/>
  </si>
  <si>
    <t>42.4</t>
    <phoneticPr fontId="2"/>
  </si>
  <si>
    <t>38.9</t>
    <phoneticPr fontId="2"/>
  </si>
  <si>
    <t>36.0</t>
    <phoneticPr fontId="2"/>
  </si>
  <si>
    <t>34.3</t>
    <phoneticPr fontId="2"/>
  </si>
  <si>
    <t>2.13</t>
    <phoneticPr fontId="2"/>
  </si>
  <si>
    <t>12.45</t>
    <phoneticPr fontId="2"/>
  </si>
  <si>
    <t>996.78</t>
    <phoneticPr fontId="2"/>
  </si>
  <si>
    <t>1,121.38</t>
    <phoneticPr fontId="2"/>
  </si>
  <si>
    <t>63.90</t>
    <phoneticPr fontId="2"/>
  </si>
  <si>
    <t>12.10</t>
    <phoneticPr fontId="2"/>
  </si>
  <si>
    <t>7.28</t>
    <phoneticPr fontId="2"/>
  </si>
  <si>
    <t>148.8</t>
    <phoneticPr fontId="2"/>
  </si>
  <si>
    <t>41.5</t>
    <phoneticPr fontId="2"/>
  </si>
  <si>
    <t>26.5</t>
    <phoneticPr fontId="2"/>
  </si>
  <si>
    <t>12.79</t>
    <phoneticPr fontId="2"/>
  </si>
  <si>
    <t>1,023.69</t>
    <phoneticPr fontId="2"/>
  </si>
  <si>
    <t>1,151.65</t>
    <phoneticPr fontId="2"/>
  </si>
  <si>
    <t>69.10</t>
    <phoneticPr fontId="2"/>
  </si>
  <si>
    <t>12.20</t>
    <phoneticPr fontId="2"/>
  </si>
  <si>
    <t>488</t>
    <phoneticPr fontId="2"/>
  </si>
  <si>
    <t>6.98</t>
    <phoneticPr fontId="2"/>
  </si>
  <si>
    <t>208</t>
    <phoneticPr fontId="2"/>
  </si>
  <si>
    <t>231</t>
    <phoneticPr fontId="2"/>
  </si>
  <si>
    <t>578</t>
    <phoneticPr fontId="2"/>
  </si>
  <si>
    <t>153.7</t>
    <phoneticPr fontId="2"/>
  </si>
  <si>
    <t>47.9</t>
    <phoneticPr fontId="2"/>
  </si>
  <si>
    <t>0.207</t>
    <phoneticPr fontId="2"/>
  </si>
  <si>
    <t>13.33</t>
    <phoneticPr fontId="2"/>
  </si>
  <si>
    <t>1,066.45</t>
    <phoneticPr fontId="2"/>
  </si>
  <si>
    <t>1,199.75</t>
    <phoneticPr fontId="2"/>
  </si>
  <si>
    <t>61.00</t>
    <phoneticPr fontId="2"/>
  </si>
  <si>
    <t>10.50</t>
    <phoneticPr fontId="2"/>
  </si>
  <si>
    <t>570</t>
    <phoneticPr fontId="2"/>
  </si>
  <si>
    <t>105</t>
    <phoneticPr fontId="2"/>
  </si>
  <si>
    <t>134.0</t>
    <phoneticPr fontId="2"/>
  </si>
  <si>
    <t>19.6</t>
    <phoneticPr fontId="2"/>
  </si>
  <si>
    <t>追田　美和</t>
    <phoneticPr fontId="2"/>
  </si>
  <si>
    <t>2018/04/20</t>
    <phoneticPr fontId="2"/>
  </si>
  <si>
    <t>11.83</t>
    <phoneticPr fontId="2"/>
  </si>
  <si>
    <t>946.88</t>
    <phoneticPr fontId="2"/>
  </si>
  <si>
    <t>1,065.24</t>
    <phoneticPr fontId="2"/>
  </si>
  <si>
    <t>111.50</t>
    <phoneticPr fontId="2"/>
  </si>
  <si>
    <t>7.90</t>
    <phoneticPr fontId="2"/>
  </si>
  <si>
    <t>481</t>
    <phoneticPr fontId="2"/>
  </si>
  <si>
    <t>7.44</t>
    <phoneticPr fontId="2"/>
  </si>
  <si>
    <t>123.9</t>
    <phoneticPr fontId="2"/>
  </si>
  <si>
    <t>117</t>
    <phoneticPr fontId="2"/>
  </si>
  <si>
    <t>12.29</t>
    <phoneticPr fontId="2"/>
  </si>
  <si>
    <t>983.37</t>
    <phoneticPr fontId="2"/>
  </si>
  <si>
    <t>1,106.30</t>
    <phoneticPr fontId="2"/>
  </si>
  <si>
    <t>160.57</t>
    <phoneticPr fontId="2"/>
  </si>
  <si>
    <t>1.26</t>
    <phoneticPr fontId="2"/>
  </si>
  <si>
    <t>1.42</t>
    <phoneticPr fontId="2"/>
  </si>
  <si>
    <t>20.6</t>
    <phoneticPr fontId="2"/>
  </si>
  <si>
    <t>504</t>
    <phoneticPr fontId="2"/>
  </si>
  <si>
    <t>7.42</t>
    <phoneticPr fontId="2"/>
  </si>
  <si>
    <t>145.0</t>
    <phoneticPr fontId="2"/>
  </si>
  <si>
    <t>大木　ゆいか</t>
    <phoneticPr fontId="2"/>
  </si>
  <si>
    <t>2015/06/11</t>
    <phoneticPr fontId="2"/>
  </si>
  <si>
    <t>129</t>
    <phoneticPr fontId="2"/>
  </si>
  <si>
    <t>137</t>
    <phoneticPr fontId="2"/>
  </si>
  <si>
    <t>1,105.87</t>
    <phoneticPr fontId="2"/>
  </si>
  <si>
    <t>1,244.10</t>
    <phoneticPr fontId="2"/>
  </si>
  <si>
    <t>64.90</t>
    <phoneticPr fontId="2"/>
  </si>
  <si>
    <t>9.10</t>
    <phoneticPr fontId="2"/>
  </si>
  <si>
    <t>585</t>
    <phoneticPr fontId="2"/>
  </si>
  <si>
    <t>135.5</t>
    <phoneticPr fontId="2"/>
  </si>
  <si>
    <t>27.9</t>
    <phoneticPr fontId="2"/>
  </si>
  <si>
    <t>0.184</t>
    <phoneticPr fontId="2"/>
  </si>
  <si>
    <t>1.27</t>
    <phoneticPr fontId="2"/>
  </si>
  <si>
    <t>12.06</t>
    <phoneticPr fontId="2"/>
  </si>
  <si>
    <t>965.31</t>
    <phoneticPr fontId="2"/>
  </si>
  <si>
    <t>1,085.98</t>
    <phoneticPr fontId="2"/>
  </si>
  <si>
    <t>50.90</t>
    <phoneticPr fontId="2"/>
  </si>
  <si>
    <t>14.10</t>
    <phoneticPr fontId="2"/>
  </si>
  <si>
    <t>6.31</t>
    <phoneticPr fontId="2"/>
  </si>
  <si>
    <t>141.4</t>
    <phoneticPr fontId="2"/>
  </si>
  <si>
    <t>42.3</t>
    <phoneticPr fontId="2"/>
  </si>
  <si>
    <t>0.156</t>
    <phoneticPr fontId="2"/>
  </si>
  <si>
    <t>1.25</t>
    <phoneticPr fontId="2"/>
  </si>
  <si>
    <t>2026/03/26</t>
    <phoneticPr fontId="2"/>
  </si>
  <si>
    <t>13.86</t>
    <phoneticPr fontId="2"/>
  </si>
  <si>
    <t>1,109.09</t>
    <phoneticPr fontId="2"/>
  </si>
  <si>
    <t>1,247.73</t>
    <phoneticPr fontId="2"/>
  </si>
  <si>
    <t>78.30</t>
    <phoneticPr fontId="2"/>
  </si>
  <si>
    <t>645</t>
    <phoneticPr fontId="2"/>
  </si>
  <si>
    <t>6.46</t>
    <phoneticPr fontId="2"/>
  </si>
  <si>
    <t>157.7</t>
    <phoneticPr fontId="2"/>
  </si>
  <si>
    <t>36.5</t>
    <phoneticPr fontId="2"/>
  </si>
  <si>
    <t>33.7</t>
    <phoneticPr fontId="2"/>
  </si>
  <si>
    <t>30.2</t>
    <phoneticPr fontId="2"/>
  </si>
  <si>
    <t>1.62</t>
    <phoneticPr fontId="2"/>
  </si>
  <si>
    <t>206</t>
    <phoneticPr fontId="2"/>
  </si>
  <si>
    <t>197</t>
    <phoneticPr fontId="2"/>
  </si>
  <si>
    <t>10.64</t>
    <phoneticPr fontId="2"/>
  </si>
  <si>
    <t>851.96</t>
    <phoneticPr fontId="2"/>
  </si>
  <si>
    <t>958.45</t>
    <phoneticPr fontId="2"/>
  </si>
  <si>
    <t>80.50</t>
    <phoneticPr fontId="2"/>
  </si>
  <si>
    <t>13.20</t>
    <phoneticPr fontId="2"/>
  </si>
  <si>
    <t>13.8</t>
    <phoneticPr fontId="2"/>
  </si>
  <si>
    <t>387</t>
    <phoneticPr fontId="2"/>
  </si>
  <si>
    <t>8.41</t>
    <phoneticPr fontId="2"/>
  </si>
  <si>
    <t>113.3</t>
    <phoneticPr fontId="2"/>
  </si>
  <si>
    <t>14.1</t>
    <phoneticPr fontId="2"/>
  </si>
  <si>
    <t>11.3</t>
    <phoneticPr fontId="2"/>
  </si>
  <si>
    <t>0.49</t>
    <phoneticPr fontId="2"/>
  </si>
  <si>
    <t>91</t>
    <phoneticPr fontId="2"/>
  </si>
  <si>
    <t>2026/03/25</t>
    <phoneticPr fontId="2"/>
  </si>
  <si>
    <t>12.35</t>
    <phoneticPr fontId="2"/>
  </si>
  <si>
    <t>988.59</t>
    <phoneticPr fontId="2"/>
  </si>
  <si>
    <t>1,112.16</t>
    <phoneticPr fontId="2"/>
  </si>
  <si>
    <t>124.60</t>
    <phoneticPr fontId="2"/>
  </si>
  <si>
    <t>160.6</t>
    <phoneticPr fontId="2"/>
  </si>
  <si>
    <t>52.2</t>
    <phoneticPr fontId="2"/>
  </si>
  <si>
    <t>26.2</t>
    <phoneticPr fontId="2"/>
  </si>
  <si>
    <t>0.205</t>
    <phoneticPr fontId="2"/>
  </si>
  <si>
    <t>15歳</t>
    <phoneticPr fontId="2"/>
  </si>
  <si>
    <t>15.56</t>
    <phoneticPr fontId="2"/>
  </si>
  <si>
    <t>1,245.14</t>
    <phoneticPr fontId="2"/>
  </si>
  <si>
    <t>1,400.78</t>
    <phoneticPr fontId="2"/>
  </si>
  <si>
    <t>57.40</t>
    <phoneticPr fontId="2"/>
  </si>
  <si>
    <t>29.1</t>
    <phoneticPr fontId="2"/>
  </si>
  <si>
    <t>665</t>
    <phoneticPr fontId="2"/>
  </si>
  <si>
    <t>5.73</t>
    <phoneticPr fontId="2"/>
  </si>
  <si>
    <t>179.8</t>
    <phoneticPr fontId="2"/>
  </si>
  <si>
    <t>73.6</t>
    <phoneticPr fontId="2"/>
  </si>
  <si>
    <t>41.8</t>
    <phoneticPr fontId="2"/>
  </si>
  <si>
    <t>41.7</t>
    <phoneticPr fontId="2"/>
  </si>
  <si>
    <t>0.179</t>
    <phoneticPr fontId="2"/>
  </si>
  <si>
    <t>29.7</t>
    <phoneticPr fontId="2"/>
  </si>
  <si>
    <t>1.66</t>
    <phoneticPr fontId="2"/>
  </si>
  <si>
    <t>214</t>
    <phoneticPr fontId="2"/>
  </si>
  <si>
    <t>13.12</t>
    <phoneticPr fontId="2"/>
  </si>
  <si>
    <t>1,049.74</t>
    <phoneticPr fontId="2"/>
  </si>
  <si>
    <t>1,180.96</t>
    <phoneticPr fontId="2"/>
  </si>
  <si>
    <t>99.40</t>
    <phoneticPr fontId="2"/>
  </si>
  <si>
    <t>8.80</t>
    <phoneticPr fontId="2"/>
  </si>
  <si>
    <t>615</t>
    <phoneticPr fontId="2"/>
  </si>
  <si>
    <t>35</t>
    <phoneticPr fontId="2"/>
  </si>
  <si>
    <t>144.9</t>
    <phoneticPr fontId="2"/>
  </si>
  <si>
    <t>49.5</t>
    <phoneticPr fontId="2"/>
  </si>
  <si>
    <t>0.220</t>
    <phoneticPr fontId="2"/>
  </si>
  <si>
    <t>17.6</t>
    <phoneticPr fontId="2"/>
  </si>
  <si>
    <t>21.40</t>
    <phoneticPr fontId="2"/>
  </si>
  <si>
    <t>1,712.11</t>
    <phoneticPr fontId="2"/>
  </si>
  <si>
    <t>1,926.13</t>
    <phoneticPr fontId="2"/>
  </si>
  <si>
    <t>0.00</t>
    <phoneticPr fontId="2"/>
  </si>
  <si>
    <t>436</t>
    <phoneticPr fontId="2"/>
  </si>
  <si>
    <t>26.1</t>
    <phoneticPr fontId="2"/>
  </si>
  <si>
    <t>0.208</t>
    <phoneticPr fontId="2"/>
  </si>
  <si>
    <t>13.71</t>
    <phoneticPr fontId="2"/>
  </si>
  <si>
    <t>1,097.33</t>
    <phoneticPr fontId="2"/>
  </si>
  <si>
    <t>1,234.50</t>
    <phoneticPr fontId="2"/>
  </si>
  <si>
    <t>103.10</t>
    <phoneticPr fontId="2"/>
  </si>
  <si>
    <t>7.20</t>
    <phoneticPr fontId="2"/>
  </si>
  <si>
    <t>22.3</t>
    <phoneticPr fontId="2"/>
  </si>
  <si>
    <t>513</t>
    <phoneticPr fontId="2"/>
  </si>
  <si>
    <t>6.17</t>
    <phoneticPr fontId="2"/>
  </si>
  <si>
    <t>45.2</t>
    <phoneticPr fontId="2"/>
  </si>
  <si>
    <t>30.9</t>
    <phoneticPr fontId="2"/>
  </si>
  <si>
    <t>0.146</t>
    <phoneticPr fontId="2"/>
  </si>
  <si>
    <t>1.56</t>
    <phoneticPr fontId="2"/>
  </si>
  <si>
    <t>13.05</t>
    <phoneticPr fontId="2"/>
  </si>
  <si>
    <t>1,044.65</t>
    <phoneticPr fontId="2"/>
  </si>
  <si>
    <t>1,175.23</t>
    <phoneticPr fontId="2"/>
  </si>
  <si>
    <t>94.40</t>
    <phoneticPr fontId="2"/>
  </si>
  <si>
    <t>94.00</t>
    <phoneticPr fontId="2"/>
  </si>
  <si>
    <t>217,748</t>
    <phoneticPr fontId="2"/>
  </si>
  <si>
    <t>150.0</t>
    <phoneticPr fontId="2"/>
  </si>
  <si>
    <t>13.75</t>
    <phoneticPr fontId="2"/>
  </si>
  <si>
    <t>1,100.21</t>
    <phoneticPr fontId="2"/>
  </si>
  <si>
    <t>1,237.74</t>
    <phoneticPr fontId="2"/>
  </si>
  <si>
    <t>111.20</t>
    <phoneticPr fontId="2"/>
  </si>
  <si>
    <t>6.40</t>
    <phoneticPr fontId="2"/>
  </si>
  <si>
    <t>628</t>
    <phoneticPr fontId="2"/>
  </si>
  <si>
    <t>6.34</t>
    <phoneticPr fontId="2"/>
  </si>
  <si>
    <t>154.8</t>
    <phoneticPr fontId="2"/>
  </si>
  <si>
    <t>46.7</t>
    <phoneticPr fontId="2"/>
  </si>
  <si>
    <t>31.9</t>
    <phoneticPr fontId="2"/>
  </si>
  <si>
    <t>28.4</t>
    <phoneticPr fontId="2"/>
  </si>
  <si>
    <t>1.92</t>
    <phoneticPr fontId="2"/>
  </si>
  <si>
    <t>坂本　雪斗</t>
    <phoneticPr fontId="2"/>
  </si>
  <si>
    <t>2017/02/15</t>
    <phoneticPr fontId="2"/>
  </si>
  <si>
    <t>サッカー、バスケットボール</t>
    <phoneticPr fontId="2"/>
  </si>
  <si>
    <t>13.01</t>
    <phoneticPr fontId="2"/>
  </si>
  <si>
    <t>1,041.56</t>
    <phoneticPr fontId="2"/>
  </si>
  <si>
    <t>1,171.75</t>
    <phoneticPr fontId="2"/>
  </si>
  <si>
    <t>71.80</t>
    <phoneticPr fontId="2"/>
  </si>
  <si>
    <t>10.20</t>
    <phoneticPr fontId="2"/>
  </si>
  <si>
    <t>7.18</t>
    <phoneticPr fontId="2"/>
  </si>
  <si>
    <t>143.1</t>
    <phoneticPr fontId="2"/>
  </si>
  <si>
    <t>43.6</t>
    <phoneticPr fontId="2"/>
  </si>
  <si>
    <t>0.251</t>
    <phoneticPr fontId="2"/>
  </si>
  <si>
    <t>0.64</t>
    <phoneticPr fontId="2"/>
  </si>
  <si>
    <t>12.12</t>
    <phoneticPr fontId="2"/>
  </si>
  <si>
    <t>969.94</t>
    <phoneticPr fontId="2"/>
  </si>
  <si>
    <t>1,091.19</t>
    <phoneticPr fontId="2"/>
  </si>
  <si>
    <t>70.80</t>
    <phoneticPr fontId="2"/>
  </si>
  <si>
    <t>532</t>
    <phoneticPr fontId="2"/>
  </si>
  <si>
    <t>6.78</t>
    <phoneticPr fontId="2"/>
  </si>
  <si>
    <t>136.2</t>
    <phoneticPr fontId="2"/>
  </si>
  <si>
    <t>30.4</t>
    <phoneticPr fontId="2"/>
  </si>
  <si>
    <t>0.195</t>
    <phoneticPr fontId="2"/>
  </si>
  <si>
    <t>1,067.39</t>
    <phoneticPr fontId="2"/>
  </si>
  <si>
    <t>1,200.82</t>
    <phoneticPr fontId="2"/>
  </si>
  <si>
    <t>76.20</t>
    <phoneticPr fontId="2"/>
  </si>
  <si>
    <t>10.40</t>
    <phoneticPr fontId="2"/>
  </si>
  <si>
    <t>542</t>
    <phoneticPr fontId="2"/>
  </si>
  <si>
    <t>148.0</t>
    <phoneticPr fontId="2"/>
  </si>
  <si>
    <t>25.4</t>
    <phoneticPr fontId="2"/>
  </si>
  <si>
    <t>15.19</t>
    <phoneticPr fontId="2"/>
  </si>
  <si>
    <t>1,215.58</t>
    <phoneticPr fontId="2"/>
  </si>
  <si>
    <t>1,367.53</t>
    <phoneticPr fontId="2"/>
  </si>
  <si>
    <t>86.60</t>
    <phoneticPr fontId="2"/>
  </si>
  <si>
    <t>6.80</t>
    <phoneticPr fontId="2"/>
  </si>
  <si>
    <t>569</t>
    <phoneticPr fontId="2"/>
  </si>
  <si>
    <t>5.63</t>
    <phoneticPr fontId="2"/>
  </si>
  <si>
    <t>152.7</t>
    <phoneticPr fontId="2"/>
  </si>
  <si>
    <t>42.9</t>
    <phoneticPr fontId="2"/>
  </si>
  <si>
    <t>39.8</t>
    <phoneticPr fontId="2"/>
  </si>
  <si>
    <t>40.0</t>
    <phoneticPr fontId="2"/>
  </si>
  <si>
    <t>0.165</t>
    <phoneticPr fontId="2"/>
  </si>
  <si>
    <t>1.79</t>
    <phoneticPr fontId="2"/>
  </si>
  <si>
    <t>14.19</t>
    <phoneticPr fontId="2"/>
  </si>
  <si>
    <t>1,135.93</t>
    <phoneticPr fontId="2"/>
  </si>
  <si>
    <t>1,277.92</t>
    <phoneticPr fontId="2"/>
  </si>
  <si>
    <t>77.00</t>
    <phoneticPr fontId="2"/>
  </si>
  <si>
    <t>6.85</t>
    <phoneticPr fontId="2"/>
  </si>
  <si>
    <t>138.5</t>
    <phoneticPr fontId="2"/>
  </si>
  <si>
    <t>1.22</t>
    <phoneticPr fontId="2"/>
  </si>
  <si>
    <t>16.31</t>
    <phoneticPr fontId="2"/>
  </si>
  <si>
    <t>1,305.46</t>
    <phoneticPr fontId="2"/>
  </si>
  <si>
    <t>1,468.65</t>
    <phoneticPr fontId="2"/>
  </si>
  <si>
    <t>85.30</t>
    <phoneticPr fontId="2"/>
  </si>
  <si>
    <t>1.51</t>
    <phoneticPr fontId="2"/>
  </si>
  <si>
    <t>721</t>
    <phoneticPr fontId="2"/>
  </si>
  <si>
    <t>5.67</t>
    <phoneticPr fontId="2"/>
  </si>
  <si>
    <t>165.2</t>
    <phoneticPr fontId="2"/>
  </si>
  <si>
    <t>50.5</t>
    <phoneticPr fontId="2"/>
  </si>
  <si>
    <t>37.2</t>
    <phoneticPr fontId="2"/>
  </si>
  <si>
    <t>35.1</t>
    <phoneticPr fontId="2"/>
  </si>
  <si>
    <t>211</t>
    <phoneticPr fontId="2"/>
  </si>
  <si>
    <t>13.96</t>
    <phoneticPr fontId="2"/>
  </si>
  <si>
    <t>1,117.33</t>
    <phoneticPr fontId="2"/>
  </si>
  <si>
    <t>1,257.00</t>
    <phoneticPr fontId="2"/>
  </si>
  <si>
    <t>90.40</t>
    <phoneticPr fontId="2"/>
  </si>
  <si>
    <t>1.06</t>
    <phoneticPr fontId="2"/>
  </si>
  <si>
    <t>684</t>
    <phoneticPr fontId="2"/>
  </si>
  <si>
    <t>5.89</t>
    <phoneticPr fontId="2"/>
  </si>
  <si>
    <t>152.0</t>
    <phoneticPr fontId="2"/>
  </si>
  <si>
    <t>45.4</t>
    <phoneticPr fontId="2"/>
  </si>
  <si>
    <t>13.56</t>
    <phoneticPr fontId="2"/>
  </si>
  <si>
    <t>1,085.19</t>
    <phoneticPr fontId="2"/>
  </si>
  <si>
    <t>1,220.83</t>
    <phoneticPr fontId="2"/>
  </si>
  <si>
    <t>10.00</t>
    <phoneticPr fontId="2"/>
  </si>
  <si>
    <t>6.73</t>
    <phoneticPr fontId="2"/>
  </si>
  <si>
    <t>130.9</t>
    <phoneticPr fontId="2"/>
  </si>
  <si>
    <t>1,136.41</t>
    <phoneticPr fontId="2"/>
  </si>
  <si>
    <t>1,278.46</t>
    <phoneticPr fontId="2"/>
  </si>
  <si>
    <t>95.90</t>
    <phoneticPr fontId="2"/>
  </si>
  <si>
    <t>669</t>
    <phoneticPr fontId="2"/>
  </si>
  <si>
    <t>30.8</t>
    <phoneticPr fontId="2"/>
  </si>
  <si>
    <t>28.7</t>
    <phoneticPr fontId="2"/>
  </si>
  <si>
    <t>0.173</t>
    <phoneticPr fontId="2"/>
  </si>
  <si>
    <t>18.6</t>
    <phoneticPr fontId="2"/>
  </si>
  <si>
    <t>1.08</t>
    <phoneticPr fontId="2"/>
  </si>
  <si>
    <t>高田　和音</t>
    <phoneticPr fontId="2"/>
  </si>
  <si>
    <t>2011/04/15</t>
    <phoneticPr fontId="2"/>
  </si>
  <si>
    <t>1,148.93</t>
    <phoneticPr fontId="2"/>
  </si>
  <si>
    <t>1,292.55</t>
    <phoneticPr fontId="2"/>
  </si>
  <si>
    <t>99.80</t>
    <phoneticPr fontId="2"/>
  </si>
  <si>
    <t>5.75</t>
    <phoneticPr fontId="2"/>
  </si>
  <si>
    <t>158.0</t>
    <phoneticPr fontId="2"/>
  </si>
  <si>
    <t>62.5</t>
    <phoneticPr fontId="2"/>
  </si>
  <si>
    <t>31.8</t>
    <phoneticPr fontId="2"/>
  </si>
  <si>
    <t>0.160</t>
    <phoneticPr fontId="2"/>
  </si>
  <si>
    <t>1.82</t>
    <phoneticPr fontId="2"/>
  </si>
  <si>
    <t>田中　悠慎</t>
    <phoneticPr fontId="2"/>
  </si>
  <si>
    <t>2016/06/08</t>
    <phoneticPr fontId="2"/>
  </si>
  <si>
    <t>14.09</t>
    <phoneticPr fontId="2"/>
  </si>
  <si>
    <t>1,127.27</t>
    <phoneticPr fontId="2"/>
  </si>
  <si>
    <t>1,268.18</t>
    <phoneticPr fontId="2"/>
  </si>
  <si>
    <t>135.80</t>
    <phoneticPr fontId="2"/>
  </si>
  <si>
    <t>2.20</t>
    <phoneticPr fontId="2"/>
  </si>
  <si>
    <t>1.86</t>
    <phoneticPr fontId="2"/>
  </si>
  <si>
    <t>444</t>
    <phoneticPr fontId="2"/>
  </si>
  <si>
    <t>7.73</t>
    <phoneticPr fontId="2"/>
  </si>
  <si>
    <t>139.3</t>
    <phoneticPr fontId="2"/>
  </si>
  <si>
    <t>39.9</t>
    <phoneticPr fontId="2"/>
  </si>
  <si>
    <t>0.211</t>
    <phoneticPr fontId="2"/>
  </si>
  <si>
    <t>116</t>
    <phoneticPr fontId="2"/>
  </si>
  <si>
    <t>田中　友紀乃</t>
    <phoneticPr fontId="2"/>
  </si>
  <si>
    <t>2018/11/29</t>
    <phoneticPr fontId="2"/>
  </si>
  <si>
    <t>11.05</t>
    <phoneticPr fontId="2"/>
  </si>
  <si>
    <t>884.67</t>
    <phoneticPr fontId="2"/>
  </si>
  <si>
    <t>995.25</t>
    <phoneticPr fontId="2"/>
  </si>
  <si>
    <t>54.63</t>
    <phoneticPr fontId="2"/>
  </si>
  <si>
    <t>14.64</t>
    <phoneticPr fontId="2"/>
  </si>
  <si>
    <t>13.2</t>
    <phoneticPr fontId="2"/>
  </si>
  <si>
    <t>351</t>
    <phoneticPr fontId="2"/>
  </si>
  <si>
    <t>7.43</t>
    <phoneticPr fontId="2"/>
  </si>
  <si>
    <t>120.7</t>
    <phoneticPr fontId="2"/>
  </si>
  <si>
    <t>14.3</t>
    <phoneticPr fontId="2"/>
  </si>
  <si>
    <t>14.2</t>
    <phoneticPr fontId="2"/>
  </si>
  <si>
    <t>0.202</t>
    <phoneticPr fontId="2"/>
  </si>
  <si>
    <t>0.53</t>
    <phoneticPr fontId="2"/>
  </si>
  <si>
    <t>13.10</t>
    <phoneticPr fontId="2"/>
  </si>
  <si>
    <t>1,048.00</t>
    <phoneticPr fontId="2"/>
  </si>
  <si>
    <t>1,179.00</t>
    <phoneticPr fontId="2"/>
  </si>
  <si>
    <t>93.20</t>
    <phoneticPr fontId="2"/>
  </si>
  <si>
    <t>469</t>
    <phoneticPr fontId="2"/>
  </si>
  <si>
    <t>150.9</t>
    <phoneticPr fontId="2"/>
  </si>
  <si>
    <t>55.5</t>
    <phoneticPr fontId="2"/>
  </si>
  <si>
    <t>22.2</t>
    <phoneticPr fontId="2"/>
  </si>
  <si>
    <t>12.47</t>
    <phoneticPr fontId="2"/>
  </si>
  <si>
    <t>997.74</t>
    <phoneticPr fontId="2"/>
  </si>
  <si>
    <t>1,122.46</t>
    <phoneticPr fontId="2"/>
  </si>
  <si>
    <t>6.50</t>
    <phoneticPr fontId="2"/>
  </si>
  <si>
    <t>33.4</t>
    <phoneticPr fontId="2"/>
  </si>
  <si>
    <t>26.8</t>
    <phoneticPr fontId="2"/>
  </si>
  <si>
    <t>1.38</t>
    <phoneticPr fontId="2"/>
  </si>
  <si>
    <t>1,083.34</t>
    <phoneticPr fontId="2"/>
  </si>
  <si>
    <t>1,218.76</t>
    <phoneticPr fontId="2"/>
  </si>
  <si>
    <t>102.80</t>
    <phoneticPr fontId="2"/>
  </si>
  <si>
    <t>7.60</t>
    <phoneticPr fontId="2"/>
  </si>
  <si>
    <t>5.90</t>
    <phoneticPr fontId="2"/>
  </si>
  <si>
    <t>152.6</t>
    <phoneticPr fontId="2"/>
  </si>
  <si>
    <t>41.6</t>
    <phoneticPr fontId="2"/>
  </si>
  <si>
    <t>1.31</t>
    <phoneticPr fontId="2"/>
  </si>
  <si>
    <t>12.88</t>
    <phoneticPr fontId="2"/>
  </si>
  <si>
    <t>1,030.42</t>
    <phoneticPr fontId="2"/>
  </si>
  <si>
    <t>1,159.22</t>
    <phoneticPr fontId="2"/>
  </si>
  <si>
    <t>123.10</t>
    <phoneticPr fontId="2"/>
  </si>
  <si>
    <t>6.36</t>
    <phoneticPr fontId="2"/>
  </si>
  <si>
    <t>140.2</t>
    <phoneticPr fontId="2"/>
  </si>
  <si>
    <t>34.8</t>
    <phoneticPr fontId="2"/>
  </si>
  <si>
    <t>14.03</t>
    <phoneticPr fontId="2"/>
  </si>
  <si>
    <t>1,123.08</t>
    <phoneticPr fontId="2"/>
  </si>
  <si>
    <t>1,263.46</t>
    <phoneticPr fontId="2"/>
  </si>
  <si>
    <t>78.60</t>
    <phoneticPr fontId="2"/>
  </si>
  <si>
    <t>502</t>
    <phoneticPr fontId="2"/>
  </si>
  <si>
    <t>6.28</t>
    <phoneticPr fontId="2"/>
  </si>
  <si>
    <t>147.7</t>
    <phoneticPr fontId="2"/>
  </si>
  <si>
    <t>36.4</t>
    <phoneticPr fontId="2"/>
  </si>
  <si>
    <t>33.0</t>
    <phoneticPr fontId="2"/>
  </si>
  <si>
    <t>0.162</t>
    <phoneticPr fontId="2"/>
  </si>
  <si>
    <t>1.45</t>
    <phoneticPr fontId="2"/>
  </si>
  <si>
    <t>南木　琥太郎</t>
    <phoneticPr fontId="2"/>
  </si>
  <si>
    <t>2015/10/27</t>
    <phoneticPr fontId="2"/>
  </si>
  <si>
    <t>1,045.71</t>
    <phoneticPr fontId="2"/>
  </si>
  <si>
    <t>1,176.43</t>
    <phoneticPr fontId="2"/>
  </si>
  <si>
    <t>84.00</t>
    <phoneticPr fontId="2"/>
  </si>
  <si>
    <t>440</t>
    <phoneticPr fontId="2"/>
  </si>
  <si>
    <t>6.35</t>
    <phoneticPr fontId="2"/>
  </si>
  <si>
    <t>138.3</t>
    <phoneticPr fontId="2"/>
  </si>
  <si>
    <t>33.3</t>
    <phoneticPr fontId="2"/>
  </si>
  <si>
    <t>南木　こころ</t>
    <phoneticPr fontId="2"/>
  </si>
  <si>
    <t>2016/10/30</t>
    <phoneticPr fontId="2"/>
  </si>
  <si>
    <t>13.23</t>
    <phoneticPr fontId="2"/>
  </si>
  <si>
    <t>1,058.57</t>
    <phoneticPr fontId="2"/>
  </si>
  <si>
    <t>1,190.90</t>
    <phoneticPr fontId="2"/>
  </si>
  <si>
    <t>99.20</t>
    <phoneticPr fontId="2"/>
  </si>
  <si>
    <t>7.30</t>
    <phoneticPr fontId="2"/>
  </si>
  <si>
    <t>7.04</t>
    <phoneticPr fontId="2"/>
  </si>
  <si>
    <t>131.5</t>
    <phoneticPr fontId="2"/>
  </si>
  <si>
    <t>29.0</t>
    <phoneticPr fontId="2"/>
  </si>
  <si>
    <t>1.30</t>
    <phoneticPr fontId="2"/>
  </si>
  <si>
    <t>野澤　奏翔</t>
    <phoneticPr fontId="2"/>
  </si>
  <si>
    <t>2013/08/27</t>
    <phoneticPr fontId="2"/>
  </si>
  <si>
    <t>13.55</t>
    <phoneticPr fontId="2"/>
  </si>
  <si>
    <t>1,084.21</t>
    <phoneticPr fontId="2"/>
  </si>
  <si>
    <t>1,219.74</t>
    <phoneticPr fontId="2"/>
  </si>
  <si>
    <t>100.50</t>
    <phoneticPr fontId="2"/>
  </si>
  <si>
    <t>568</t>
    <phoneticPr fontId="2"/>
  </si>
  <si>
    <t>6.86</t>
    <phoneticPr fontId="2"/>
  </si>
  <si>
    <t>21.1</t>
    <phoneticPr fontId="2"/>
  </si>
  <si>
    <t>0.178</t>
    <phoneticPr fontId="2"/>
  </si>
  <si>
    <t>野澤　朋樹</t>
    <phoneticPr fontId="2"/>
  </si>
  <si>
    <t>2016/04/09</t>
    <phoneticPr fontId="2"/>
  </si>
  <si>
    <t>132</t>
    <phoneticPr fontId="2"/>
  </si>
  <si>
    <t>15.61</t>
    <phoneticPr fontId="2"/>
  </si>
  <si>
    <t>1,249.24</t>
    <phoneticPr fontId="2"/>
  </si>
  <si>
    <t>1,405.39</t>
    <phoneticPr fontId="2"/>
  </si>
  <si>
    <t>80.10</t>
    <phoneticPr fontId="2"/>
  </si>
  <si>
    <t>5.20</t>
    <phoneticPr fontId="2"/>
  </si>
  <si>
    <t>1.78</t>
    <phoneticPr fontId="2"/>
  </si>
  <si>
    <t>18.7</t>
    <phoneticPr fontId="2"/>
  </si>
  <si>
    <t>6.32</t>
    <phoneticPr fontId="2"/>
  </si>
  <si>
    <t>142.9</t>
    <phoneticPr fontId="2"/>
  </si>
  <si>
    <t>32.3</t>
    <phoneticPr fontId="2"/>
  </si>
  <si>
    <t>比良　大輝</t>
    <phoneticPr fontId="2"/>
  </si>
  <si>
    <t>2015/05/31</t>
    <phoneticPr fontId="2"/>
  </si>
  <si>
    <t>ラグビー</t>
    <phoneticPr fontId="2"/>
  </si>
  <si>
    <t>13.46</t>
    <phoneticPr fontId="2"/>
  </si>
  <si>
    <t>1,077.01</t>
    <phoneticPr fontId="2"/>
  </si>
  <si>
    <t>1,211.64</t>
    <phoneticPr fontId="2"/>
  </si>
  <si>
    <t>149.70</t>
    <phoneticPr fontId="2"/>
  </si>
  <si>
    <t>2.30</t>
    <phoneticPr fontId="2"/>
  </si>
  <si>
    <t>6.83</t>
    <phoneticPr fontId="2"/>
  </si>
  <si>
    <t>0.201</t>
    <phoneticPr fontId="2"/>
  </si>
  <si>
    <t>14.8</t>
    <phoneticPr fontId="2"/>
  </si>
  <si>
    <t>藤城　将眞</t>
    <phoneticPr fontId="2"/>
  </si>
  <si>
    <t>2013/12/11</t>
    <phoneticPr fontId="2"/>
  </si>
  <si>
    <t>6.38</t>
    <phoneticPr fontId="2"/>
  </si>
  <si>
    <t>39.0</t>
    <phoneticPr fontId="2"/>
  </si>
  <si>
    <t>1.35</t>
    <phoneticPr fontId="2"/>
  </si>
  <si>
    <t>11.73</t>
    <phoneticPr fontId="2"/>
  </si>
  <si>
    <t>938.75</t>
    <phoneticPr fontId="2"/>
  </si>
  <si>
    <t>1,056.09</t>
    <phoneticPr fontId="2"/>
  </si>
  <si>
    <t>156.50</t>
    <phoneticPr fontId="2"/>
  </si>
  <si>
    <t>241</t>
    <phoneticPr fontId="2"/>
  </si>
  <si>
    <t>6.97</t>
    <phoneticPr fontId="2"/>
  </si>
  <si>
    <t>124.9</t>
    <phoneticPr fontId="2"/>
  </si>
  <si>
    <t>0.192</t>
    <phoneticPr fontId="2"/>
  </si>
  <si>
    <t>12.42</t>
    <phoneticPr fontId="2"/>
  </si>
  <si>
    <t>994.20</t>
    <phoneticPr fontId="2"/>
  </si>
  <si>
    <t>1,118.47</t>
    <phoneticPr fontId="2"/>
  </si>
  <si>
    <t>105.00</t>
    <phoneticPr fontId="2"/>
  </si>
  <si>
    <t>465</t>
    <phoneticPr fontId="2"/>
  </si>
  <si>
    <t>36.8</t>
    <phoneticPr fontId="2"/>
  </si>
  <si>
    <t>0.66</t>
    <phoneticPr fontId="2"/>
  </si>
  <si>
    <t>1,077.45</t>
    <phoneticPr fontId="2"/>
  </si>
  <si>
    <t>1,212.13</t>
    <phoneticPr fontId="2"/>
  </si>
  <si>
    <t>101.20</t>
    <phoneticPr fontId="2"/>
  </si>
  <si>
    <t>581</t>
    <phoneticPr fontId="2"/>
  </si>
  <si>
    <t>6.55</t>
    <phoneticPr fontId="2"/>
  </si>
  <si>
    <t>39.6</t>
    <phoneticPr fontId="2"/>
  </si>
  <si>
    <t>1.57</t>
    <phoneticPr fontId="2"/>
  </si>
  <si>
    <t>村上　寛奈</t>
    <phoneticPr fontId="2"/>
  </si>
  <si>
    <t>2015/02/10</t>
    <phoneticPr fontId="2"/>
  </si>
  <si>
    <t>13.62</t>
    <phoneticPr fontId="2"/>
  </si>
  <si>
    <t>1,089.84</t>
    <phoneticPr fontId="2"/>
  </si>
  <si>
    <t>1,226.07</t>
    <phoneticPr fontId="2"/>
  </si>
  <si>
    <t>108.70</t>
    <phoneticPr fontId="2"/>
  </si>
  <si>
    <t>589</t>
    <phoneticPr fontId="2"/>
  </si>
  <si>
    <t>6.51</t>
    <phoneticPr fontId="2"/>
  </si>
  <si>
    <t>139.9</t>
    <phoneticPr fontId="2"/>
  </si>
  <si>
    <t>0.174</t>
    <phoneticPr fontId="2"/>
  </si>
  <si>
    <t>1.46</t>
    <phoneticPr fontId="2"/>
  </si>
  <si>
    <t>8.5</t>
    <phoneticPr fontId="2"/>
  </si>
  <si>
    <t>9.5</t>
    <phoneticPr fontId="2"/>
  </si>
  <si>
    <t>10.5</t>
    <phoneticPr fontId="2"/>
  </si>
  <si>
    <t>11.5</t>
    <phoneticPr fontId="2"/>
  </si>
  <si>
    <t>13.52</t>
    <phoneticPr fontId="2"/>
  </si>
  <si>
    <t>1,081.90</t>
    <phoneticPr fontId="2"/>
  </si>
  <si>
    <t>1,217.14</t>
    <phoneticPr fontId="2"/>
  </si>
  <si>
    <t>148.50</t>
    <phoneticPr fontId="2"/>
  </si>
  <si>
    <t>4.20</t>
    <phoneticPr fontId="2"/>
  </si>
  <si>
    <t>471</t>
    <phoneticPr fontId="2"/>
  </si>
  <si>
    <t>6.62</t>
    <phoneticPr fontId="2"/>
  </si>
  <si>
    <t>137.5</t>
    <phoneticPr fontId="2"/>
  </si>
  <si>
    <t>0.190</t>
    <phoneticPr fontId="2"/>
  </si>
  <si>
    <t>17.4</t>
    <phoneticPr fontId="2"/>
  </si>
  <si>
    <t>128</t>
    <phoneticPr fontId="2"/>
  </si>
  <si>
    <t>1,170.06</t>
    <phoneticPr fontId="2"/>
  </si>
  <si>
    <t>31.00</t>
    <phoneticPr fontId="2"/>
  </si>
  <si>
    <t>12.60</t>
    <phoneticPr fontId="2"/>
  </si>
  <si>
    <t>315</t>
    <phoneticPr fontId="2"/>
  </si>
  <si>
    <t>121.9</t>
    <phoneticPr fontId="2"/>
  </si>
  <si>
    <t>0.388</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</si>
</sst>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80">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1" fillId="0" borderId="95" xfId="0" applyFont="1" applyBorder="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87" xfId="0" applyFont="1" applyBorder="1" applyAlignment="1">
      <alignment horizontal="center" vertical="center"/>
    </xf>
    <xf numFmtId="0" fontId="18" fillId="0" borderId="88"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18" fillId="0" borderId="93"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1.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3</xdr:row>
          <xdr:rowOff>50800</xdr:rowOff>
        </xdr:from>
        <xdr:to>
          <xdr:col>6</xdr:col>
          <xdr:colOff>336550</xdr:colOff>
          <xdr:row>6</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787400</xdr:colOff>
          <xdr:row>3</xdr:row>
          <xdr:rowOff>31750</xdr:rowOff>
        </xdr:from>
        <xdr:to>
          <xdr:col>12</xdr:col>
          <xdr:colOff>254000</xdr:colOff>
          <xdr:row>6</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3</xdr:row>
          <xdr:rowOff>50800</xdr:rowOff>
        </xdr:from>
        <xdr:to>
          <xdr:col>7</xdr:col>
          <xdr:colOff>336550</xdr:colOff>
          <xdr:row>6</xdr:row>
          <xdr:rowOff>146050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C3937EC8-CB84-40FF-90ED-CBCE3F9C5067}"/>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3</xdr:row>
          <xdr:rowOff>31750</xdr:rowOff>
        </xdr:from>
        <xdr:to>
          <xdr:col>13</xdr:col>
          <xdr:colOff>254000</xdr:colOff>
          <xdr:row>6</xdr:row>
          <xdr:rowOff>203200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D295B213-5053-41E1-903D-3083A2EE6FA9}"/>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 Id="rId1"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野坂友宏"/>
      <sheetName val="野坂真生"/>
      <sheetName val="野坂幸央"/>
      <sheetName val="北條優空"/>
      <sheetName val="渡辺華"/>
      <sheetName val="小倉大河"/>
      <sheetName val="三ツ森寧樹"/>
      <sheetName val="成田栞那"/>
      <sheetName val="成田睦生"/>
      <sheetName val="大森玲奈"/>
      <sheetName val="追田理仁"/>
      <sheetName val="川﨑遥斗"/>
      <sheetName val="小川根ノ葉"/>
      <sheetName val="野澤奏翔"/>
      <sheetName val="野澤朋樹"/>
      <sheetName val="小井沼晴義"/>
      <sheetName val="藤城将眞"/>
      <sheetName val="武田寛生"/>
      <sheetName val="南木琥太郎"/>
      <sheetName val="南木こころ"/>
      <sheetName val="金谷壮真"/>
      <sheetName val="塩澤蓮"/>
      <sheetName val="塩澤陸"/>
      <sheetName val="新井天翔"/>
      <sheetName val="大橋優那"/>
      <sheetName val="肥塚紗月"/>
      <sheetName val="鶴見蓮音"/>
      <sheetName val="島田龍空"/>
      <sheetName val="島田和空"/>
      <sheetName val="富田竣介"/>
      <sheetName val="高田和音"/>
      <sheetName val="伊藤暉基"/>
      <sheetName val="臼井遥香"/>
      <sheetName val="臼井咲葵"/>
      <sheetName val="斎藤啓次"/>
      <sheetName val="熊倉志道"/>
      <sheetName val="堀越悠太郎"/>
      <sheetName val="堀越亮佑"/>
      <sheetName val="平子創介"/>
      <sheetName val="大塚直幸"/>
      <sheetName val="大塚真結美"/>
      <sheetName val="高田賢吾"/>
      <sheetName val="加藤千空"/>
      <sheetName val="加藤怜"/>
      <sheetName val="石川基"/>
      <sheetName val="須田ほたる"/>
      <sheetName val="大貫那緒"/>
      <sheetName val="手塚みお"/>
      <sheetName val="堀田雄聖"/>
      <sheetName val="大出隆佑"/>
      <sheetName val="大出悠貫"/>
      <sheetName val="久保田葵"/>
      <sheetName val="市村隆晟"/>
      <sheetName val="比良大輝"/>
      <sheetName val="小倉丈"/>
      <sheetName val="篠崎龍"/>
      <sheetName val="篠崎楓"/>
      <sheetName val="山本春稀"/>
      <sheetName val="玉川葵"/>
      <sheetName val="玉川風音"/>
      <sheetName val="鈴木遼太郎"/>
      <sheetName val="佐藤友悠"/>
      <sheetName val="永井悠太郎"/>
      <sheetName val="大木ゆいか"/>
      <sheetName val="島田莉由"/>
      <sheetName val="筒井陽菜"/>
      <sheetName val="飯野簾斗"/>
      <sheetName val="飯野煌心"/>
      <sheetName val="飯野蓮凰"/>
      <sheetName val="和久井捺生"/>
      <sheetName val="宮本絢菜"/>
      <sheetName val="清水稜生"/>
      <sheetName val="データ"/>
      <sheetName val="Sheet1"/>
      <sheetName val="結果シート"/>
      <sheetName val="個人シート原本"/>
      <sheetName val="臼井結香"/>
      <sheetName val="出井結大"/>
      <sheetName val="男子"/>
      <sheetName val="女子"/>
      <sheetName val="Sheet3"/>
    </sheetNames>
    <definedNames>
      <definedName name="ExportPDF_Resultsheet_ByList_Exclude_Unique_OneDriveSafe"/>
      <definedName name="Output_Data_By_FixedFiscalRo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62</v>
      </c>
      <c r="E9" s="13" t="s">
        <v>55</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62</v>
      </c>
      <c r="E11" s="23" t="s">
        <v>55</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62</v>
      </c>
      <c r="E12" s="23" t="s">
        <v>55</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v>45770</v>
      </c>
      <c r="D4" s="17" t="s">
        <v>89</v>
      </c>
      <c r="E4" s="17" t="s">
        <v>55</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89</v>
      </c>
      <c r="E9" s="13" t="s">
        <v>55</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87</v>
      </c>
      <c r="E5" s="13" t="s">
        <v>55</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87</v>
      </c>
      <c r="E10" s="23" t="s">
        <v>55</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87</v>
      </c>
      <c r="E12" s="23" t="s">
        <v>55</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87</v>
      </c>
      <c r="E13" s="23" t="s">
        <v>55</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v>45772</v>
      </c>
      <c r="D4" s="17" t="s">
        <v>66</v>
      </c>
      <c r="E4" s="17" t="s">
        <v>55</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v>45772</v>
      </c>
      <c r="D4" s="17" t="s">
        <v>75</v>
      </c>
      <c r="E4" s="17" t="s">
        <v>55</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55</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66</v>
      </c>
      <c r="E6" s="13" t="s">
        <v>68</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83</v>
      </c>
      <c r="E10" s="23" t="s">
        <v>68</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83</v>
      </c>
      <c r="E11" s="23" t="s">
        <v>68</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v>45769</v>
      </c>
      <c r="D4" s="17" t="s">
        <v>62</v>
      </c>
      <c r="E4" s="17" t="s">
        <v>55</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66</v>
      </c>
      <c r="E5" s="13" t="s">
        <v>55</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66</v>
      </c>
      <c r="E10" s="23" t="s">
        <v>55</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66</v>
      </c>
      <c r="E12" s="23" t="s">
        <v>55</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66</v>
      </c>
      <c r="E13" s="23" t="s">
        <v>55</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v>45751</v>
      </c>
      <c r="D4" s="17" t="s">
        <v>71</v>
      </c>
      <c r="E4" s="17" t="s">
        <v>55</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72</v>
      </c>
      <c r="E5" s="13" t="s">
        <v>55</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72</v>
      </c>
      <c r="E6" s="13" t="s">
        <v>55</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72</v>
      </c>
      <c r="E7" s="13" t="s">
        <v>55</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72</v>
      </c>
      <c r="E9" s="13" t="s">
        <v>55</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72</v>
      </c>
      <c r="E10" s="23" t="s">
        <v>55</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72</v>
      </c>
      <c r="E11" s="23" t="s">
        <v>55</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72</v>
      </c>
      <c r="E12" s="23" t="s">
        <v>55</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topLeftCell="A12"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v>45763</v>
      </c>
      <c r="D4" s="17" t="s">
        <v>64</v>
      </c>
      <c r="E4" s="17" t="s">
        <v>55</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66</v>
      </c>
      <c r="E11" s="23" t="s">
        <v>55</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66</v>
      </c>
      <c r="E12" s="23" t="s">
        <v>55</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71</v>
      </c>
      <c r="E5" s="13" t="s">
        <v>55</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72</v>
      </c>
      <c r="E6" s="13" t="s">
        <v>55</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72</v>
      </c>
      <c r="E7" s="13" t="s">
        <v>55</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72</v>
      </c>
      <c r="E8" s="13" t="s">
        <v>55</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75</v>
      </c>
      <c r="E11" s="23" t="s">
        <v>55</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75</v>
      </c>
      <c r="E12" s="23" t="s">
        <v>55</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75</v>
      </c>
      <c r="E13" s="23" t="s">
        <v>55</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88</v>
      </c>
      <c r="E5" s="13" t="s">
        <v>68</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89</v>
      </c>
      <c r="E6" s="13" t="s">
        <v>68</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89</v>
      </c>
      <c r="E7" s="13" t="s">
        <v>68</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89</v>
      </c>
      <c r="E8" s="13" t="s">
        <v>68</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89</v>
      </c>
      <c r="E10" s="23" t="s">
        <v>68</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72</v>
      </c>
      <c r="E11" s="23" t="s">
        <v>68</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72</v>
      </c>
      <c r="E12" s="23" t="s">
        <v>68</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72</v>
      </c>
      <c r="E13" s="23" t="s">
        <v>68</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72</v>
      </c>
      <c r="E6" s="13" t="s">
        <v>55</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75</v>
      </c>
      <c r="E11" s="23" t="s">
        <v>55</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84</v>
      </c>
      <c r="E7" s="13" t="s">
        <v>68</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83</v>
      </c>
      <c r="E10" s="23" t="s">
        <v>68</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83</v>
      </c>
      <c r="E11" s="23" t="s">
        <v>68</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83</v>
      </c>
      <c r="E12" s="23" t="s">
        <v>68</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84</v>
      </c>
      <c r="E7" s="13" t="s">
        <v>68</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87</v>
      </c>
      <c r="E10" s="23" t="s">
        <v>68</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87</v>
      </c>
      <c r="E11" s="23" t="s">
        <v>68</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87</v>
      </c>
      <c r="E12" s="23" t="s">
        <v>68</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45863</v>
      </c>
      <c r="D7" s="13" t="s">
        <v>62</v>
      </c>
      <c r="E7" s="13" t="s">
        <v>55</v>
      </c>
      <c r="F7" s="13">
        <v>31.8</v>
      </c>
      <c r="G7" s="13">
        <v>0.188</v>
      </c>
      <c r="H7" s="13">
        <v>31.1</v>
      </c>
      <c r="I7" s="13">
        <v>1.66</v>
      </c>
      <c r="J7" s="13">
        <v>54</v>
      </c>
      <c r="K7" s="13">
        <v>192</v>
      </c>
      <c r="L7" s="13">
        <v>28.7</v>
      </c>
      <c r="M7" s="13">
        <v>6</v>
      </c>
      <c r="N7" s="13">
        <v>10</v>
      </c>
      <c r="O7" s="13">
        <v>4</v>
      </c>
      <c r="P7" s="13">
        <v>9</v>
      </c>
      <c r="Q7" s="13">
        <v>44</v>
      </c>
      <c r="R7" s="13">
        <v>149.30000000000001</v>
      </c>
      <c r="S7" s="13">
        <v>38.200000000000003</v>
      </c>
      <c r="T7" s="13">
        <v>22</v>
      </c>
      <c r="U7" s="108">
        <v>460</v>
      </c>
      <c r="V7" s="13">
        <v>0.86</v>
      </c>
      <c r="W7" s="13">
        <v>6.62</v>
      </c>
      <c r="X7" s="13">
        <v>139</v>
      </c>
      <c r="Y7" s="13">
        <v>156</v>
      </c>
      <c r="Z7" s="13">
        <v>164</v>
      </c>
      <c r="AA7" s="13">
        <v>171</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62</v>
      </c>
      <c r="E11" s="23" t="s">
        <v>55</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62</v>
      </c>
      <c r="E12" s="23" t="s">
        <v>55</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62</v>
      </c>
      <c r="E13" s="23" t="s">
        <v>55</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87</v>
      </c>
      <c r="E7" s="13" t="s">
        <v>55</v>
      </c>
      <c r="F7" s="13">
        <v>36.1</v>
      </c>
      <c r="G7" s="13">
        <v>0.17199999999999999</v>
      </c>
      <c r="H7" s="13">
        <v>29.4</v>
      </c>
      <c r="I7" s="13">
        <v>1.71</v>
      </c>
      <c r="J7" s="13">
        <v>57</v>
      </c>
      <c r="K7" s="13">
        <v>206</v>
      </c>
      <c r="L7" s="13">
        <v>33.700000000000003</v>
      </c>
      <c r="M7" s="13">
        <v>7</v>
      </c>
      <c r="N7" s="13">
        <v>10</v>
      </c>
      <c r="O7" s="13">
        <v>2</v>
      </c>
      <c r="P7" s="13">
        <v>4</v>
      </c>
      <c r="Q7" s="13">
        <v>44</v>
      </c>
      <c r="R7" s="13">
        <v>161.9</v>
      </c>
      <c r="S7" s="13">
        <v>46.2</v>
      </c>
      <c r="T7" s="13">
        <v>22.9</v>
      </c>
      <c r="U7" s="108">
        <v>571</v>
      </c>
      <c r="V7" s="13">
        <v>0.9</v>
      </c>
      <c r="W7" s="13">
        <v>6.11</v>
      </c>
      <c r="X7" s="13">
        <v>159</v>
      </c>
      <c r="Y7" s="13">
        <v>168</v>
      </c>
      <c r="Z7" s="13">
        <v>172</v>
      </c>
      <c r="AA7" s="13">
        <v>176</v>
      </c>
      <c r="AB7" s="13">
        <v>11</v>
      </c>
      <c r="AC7" s="13">
        <v>12</v>
      </c>
      <c r="AD7" s="13">
        <v>13</v>
      </c>
      <c r="AE7" s="13">
        <v>14</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87</v>
      </c>
      <c r="E10" s="23" t="s">
        <v>55</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87</v>
      </c>
      <c r="E11" s="23" t="s">
        <v>55</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87</v>
      </c>
      <c r="E12" s="23" t="s">
        <v>55</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87</v>
      </c>
      <c r="E13" s="23" t="s">
        <v>55</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64</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66</v>
      </c>
      <c r="E10" s="23" t="s">
        <v>55</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66</v>
      </c>
      <c r="E11" s="23" t="s">
        <v>55</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66</v>
      </c>
      <c r="E13" s="23" t="s">
        <v>55</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45856</v>
      </c>
      <c r="D7" s="13" t="s">
        <v>54</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62</v>
      </c>
      <c r="E9" s="13" t="s">
        <v>55</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62</v>
      </c>
      <c r="E10" s="23" t="s">
        <v>55</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62</v>
      </c>
      <c r="E11" s="23" t="s">
        <v>55</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62</v>
      </c>
      <c r="E12" s="23" t="s">
        <v>55</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87</v>
      </c>
      <c r="E7" s="13" t="s">
        <v>68</v>
      </c>
      <c r="F7" s="13">
        <v>30</v>
      </c>
      <c r="G7" s="13">
        <v>0.17699999999999999</v>
      </c>
      <c r="H7" s="13">
        <v>28.8</v>
      </c>
      <c r="I7" s="13">
        <v>1.63</v>
      </c>
      <c r="J7" s="13">
        <v>46</v>
      </c>
      <c r="K7" s="13">
        <v>194</v>
      </c>
      <c r="L7" s="13">
        <v>27.4</v>
      </c>
      <c r="M7" s="13">
        <v>7</v>
      </c>
      <c r="N7" s="13">
        <v>9</v>
      </c>
      <c r="O7" s="13">
        <v>3</v>
      </c>
      <c r="P7" s="13">
        <v>6</v>
      </c>
      <c r="Q7" s="13">
        <v>43</v>
      </c>
      <c r="R7" s="13">
        <v>157.69999999999999</v>
      </c>
      <c r="S7" s="13">
        <v>57.7</v>
      </c>
      <c r="T7" s="13">
        <v>18.899999999999999</v>
      </c>
      <c r="U7" s="108">
        <v>658</v>
      </c>
      <c r="V7" s="13">
        <v>0.97</v>
      </c>
      <c r="W7" s="13">
        <v>6.22</v>
      </c>
      <c r="X7" s="13">
        <v>163</v>
      </c>
      <c r="Y7" s="13">
        <v>170</v>
      </c>
      <c r="Z7" s="13">
        <v>172</v>
      </c>
      <c r="AA7" s="13">
        <v>180</v>
      </c>
      <c r="AB7" s="13">
        <v>8</v>
      </c>
      <c r="AC7" s="13">
        <v>9</v>
      </c>
      <c r="AD7" s="13">
        <v>10</v>
      </c>
      <c r="AE7" s="13">
        <v>10.5</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87</v>
      </c>
      <c r="E10" s="23" t="s">
        <v>68</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87</v>
      </c>
      <c r="E12" s="23" t="s">
        <v>68</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87</v>
      </c>
      <c r="E13" s="23" t="s">
        <v>68</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71</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68</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72</v>
      </c>
      <c r="E11" s="23" t="s">
        <v>68</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72</v>
      </c>
      <c r="E13" s="23" t="s">
        <v>68</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67</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69</v>
      </c>
      <c r="E10" s="23" t="s">
        <v>68</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70</v>
      </c>
      <c r="E11" s="23" t="s">
        <v>68</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70</v>
      </c>
      <c r="E13" s="23" t="s">
        <v>68</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topLeftCell="U13" zoomScale="77" zoomScaleNormal="77"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75</v>
      </c>
      <c r="E10" s="23" t="s">
        <v>55</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75</v>
      </c>
      <c r="E13" s="23" t="s">
        <v>55</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334</v>
      </c>
      <c r="AG13" s="24"/>
    </row>
    <row r="14" spans="1:34" ht="409.5" x14ac:dyDescent="0.55000000000000004">
      <c r="A14" s="19">
        <v>2025</v>
      </c>
      <c r="B14" s="20">
        <v>2</v>
      </c>
      <c r="C14" s="106">
        <v>46069</v>
      </c>
      <c r="D14" s="23" t="s">
        <v>325</v>
      </c>
      <c r="E14" s="23" t="s">
        <v>326</v>
      </c>
      <c r="F14" s="23">
        <v>27.2</v>
      </c>
      <c r="G14" s="23">
        <v>0.33</v>
      </c>
      <c r="H14" s="23">
        <v>22.1</v>
      </c>
      <c r="I14" s="23">
        <v>0.67</v>
      </c>
      <c r="J14" s="23">
        <v>38</v>
      </c>
      <c r="K14" s="23">
        <v>130</v>
      </c>
      <c r="L14" s="23">
        <v>28.1</v>
      </c>
      <c r="M14" s="23">
        <v>1</v>
      </c>
      <c r="N14" s="23">
        <v>9</v>
      </c>
      <c r="O14" s="23">
        <v>1</v>
      </c>
      <c r="P14" s="23">
        <v>4</v>
      </c>
      <c r="Q14" s="23">
        <v>51</v>
      </c>
      <c r="R14" s="23">
        <v>144.4</v>
      </c>
      <c r="S14" s="23">
        <v>33.5</v>
      </c>
      <c r="T14" s="23">
        <v>19.399999999999999</v>
      </c>
      <c r="U14" s="108">
        <v>458</v>
      </c>
      <c r="V14" s="23">
        <v>0.88</v>
      </c>
      <c r="W14" s="23">
        <v>7.38</v>
      </c>
      <c r="X14" s="23">
        <v>114</v>
      </c>
      <c r="Y14" s="23">
        <v>160</v>
      </c>
      <c r="Z14" s="23">
        <v>145</v>
      </c>
      <c r="AA14" s="23">
        <v>140</v>
      </c>
      <c r="AB14" s="13">
        <v>7</v>
      </c>
      <c r="AC14" s="13">
        <v>5</v>
      </c>
      <c r="AD14" s="13">
        <v>6</v>
      </c>
      <c r="AE14" s="13">
        <v>4</v>
      </c>
      <c r="AF14" s="175" t="s">
        <v>686</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62</v>
      </c>
      <c r="E9" s="13" t="s">
        <v>55</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62</v>
      </c>
      <c r="E11" s="23" t="s">
        <v>55</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88</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89</v>
      </c>
      <c r="E9" s="13" t="s">
        <v>55</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72</v>
      </c>
      <c r="E11" s="23" t="s">
        <v>55</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72</v>
      </c>
      <c r="E12" s="23" t="s">
        <v>55</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84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87</v>
      </c>
      <c r="E11" s="23" t="s">
        <v>55</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87</v>
      </c>
      <c r="E12" s="23" t="s">
        <v>55</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79</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66</v>
      </c>
      <c r="E11" s="23" t="s">
        <v>55</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66</v>
      </c>
      <c r="E12" s="23" t="s">
        <v>55</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64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55</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66</v>
      </c>
      <c r="E13" s="23" t="s">
        <v>55</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494</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71</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75</v>
      </c>
      <c r="E9" s="13" t="s">
        <v>55</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75</v>
      </c>
      <c r="E10" s="23" t="s">
        <v>55</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75</v>
      </c>
      <c r="E11" s="23" t="s">
        <v>55</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75</v>
      </c>
      <c r="E12" s="23" t="s">
        <v>55</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424</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70</v>
      </c>
      <c r="E10" s="23" t="s">
        <v>68</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89</v>
      </c>
      <c r="E12" s="23" t="s">
        <v>68</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88</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72</v>
      </c>
      <c r="E10" s="23" t="s">
        <v>55</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72</v>
      </c>
      <c r="E11" s="23" t="s">
        <v>55</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72</v>
      </c>
      <c r="E12" s="23" t="s">
        <v>55</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79</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68</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83</v>
      </c>
      <c r="E11" s="23" t="s">
        <v>68</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83</v>
      </c>
      <c r="E12" s="23" t="s">
        <v>68</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83</v>
      </c>
      <c r="E13" s="23" t="s">
        <v>68</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55</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62</v>
      </c>
      <c r="E11" s="23" t="s">
        <v>55</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62</v>
      </c>
      <c r="E12" s="23" t="s">
        <v>55</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62</v>
      </c>
      <c r="E13" s="23" t="s">
        <v>55</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55</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55</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62</v>
      </c>
      <c r="E13" s="23" t="s">
        <v>55</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A6"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64</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68</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66</v>
      </c>
      <c r="E13" s="23" t="s">
        <v>68</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495</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45918</v>
      </c>
      <c r="D9" s="13" t="s">
        <v>79</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66</v>
      </c>
      <c r="E10" s="23" t="s">
        <v>68</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83</v>
      </c>
      <c r="E11" s="23" t="s">
        <v>68</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83</v>
      </c>
      <c r="E12" s="23" t="s">
        <v>68</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45922</v>
      </c>
      <c r="D9" s="13" t="s">
        <v>64</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68</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68</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75</v>
      </c>
      <c r="E10" s="23" t="s">
        <v>55</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75</v>
      </c>
      <c r="E12" s="23" t="s">
        <v>55</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62</v>
      </c>
      <c r="E11" s="23" t="s">
        <v>55</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62</v>
      </c>
      <c r="E12" s="23" t="s">
        <v>55</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62</v>
      </c>
      <c r="E13" s="23" t="s">
        <v>55</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67</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70</v>
      </c>
      <c r="E10" s="23" t="s">
        <v>55</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70</v>
      </c>
      <c r="E13" s="23" t="s">
        <v>55</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71</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75</v>
      </c>
      <c r="E10" s="23" t="s">
        <v>68</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75</v>
      </c>
      <c r="E11" s="23" t="s">
        <v>68</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75</v>
      </c>
      <c r="E12" s="23" t="s">
        <v>68</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64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66</v>
      </c>
      <c r="E10" s="23" t="s">
        <v>55</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66</v>
      </c>
      <c r="E12" s="23" t="s">
        <v>55</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66</v>
      </c>
      <c r="E13" s="23" t="s">
        <v>55</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75</v>
      </c>
      <c r="E10" s="23" t="s">
        <v>55</v>
      </c>
      <c r="F10" s="23">
        <v>22.7</v>
      </c>
      <c r="G10" s="23">
        <v>0.20699999999999999</v>
      </c>
      <c r="H10" s="23">
        <v>14.8</v>
      </c>
      <c r="I10" s="23">
        <v>0.72</v>
      </c>
      <c r="J10" s="23">
        <v>55</v>
      </c>
      <c r="K10" s="23">
        <v>165</v>
      </c>
      <c r="L10" s="23">
        <v>23.3</v>
      </c>
      <c r="M10" s="23">
        <v>6</v>
      </c>
      <c r="N10" s="23">
        <v>9</v>
      </c>
      <c r="O10" s="23">
        <v>2</v>
      </c>
      <c r="P10" s="23">
        <v>4</v>
      </c>
      <c r="Q10" s="23">
        <v>45</v>
      </c>
      <c r="R10" s="23">
        <v>138.4</v>
      </c>
      <c r="S10" s="23">
        <v>36</v>
      </c>
      <c r="T10" s="23">
        <v>19.100000000000001</v>
      </c>
      <c r="U10" s="108">
        <v>569</v>
      </c>
      <c r="V10" s="23">
        <v>0.93</v>
      </c>
      <c r="W10" s="23">
        <v>6.88</v>
      </c>
      <c r="X10" s="23">
        <v>163</v>
      </c>
      <c r="Y10" s="23">
        <v>177</v>
      </c>
      <c r="Z10" s="23">
        <v>185</v>
      </c>
      <c r="AA10" s="23">
        <v>186</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75</v>
      </c>
      <c r="E13" s="23" t="s">
        <v>55</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66</v>
      </c>
      <c r="E10" s="23" t="s">
        <v>55</v>
      </c>
      <c r="F10" s="23">
        <v>19.600000000000001</v>
      </c>
      <c r="G10" s="23">
        <v>0.247</v>
      </c>
      <c r="H10" s="23">
        <v>14.9</v>
      </c>
      <c r="I10" s="23">
        <v>0.6</v>
      </c>
      <c r="J10" s="23">
        <v>52</v>
      </c>
      <c r="K10" s="23">
        <v>156</v>
      </c>
      <c r="L10" s="23">
        <v>20.9</v>
      </c>
      <c r="M10" s="23">
        <v>5</v>
      </c>
      <c r="N10" s="23">
        <v>9</v>
      </c>
      <c r="O10" s="23">
        <v>6</v>
      </c>
      <c r="P10" s="23">
        <v>5</v>
      </c>
      <c r="Q10" s="23">
        <v>47</v>
      </c>
      <c r="R10" s="23">
        <v>156.69999999999999</v>
      </c>
      <c r="S10" s="23">
        <v>53.3</v>
      </c>
      <c r="T10" s="23">
        <v>20.3</v>
      </c>
      <c r="U10" s="108">
        <v>521</v>
      </c>
      <c r="V10" s="23">
        <v>0.9</v>
      </c>
      <c r="W10" s="23">
        <v>6.8</v>
      </c>
      <c r="X10" s="23">
        <v>160</v>
      </c>
      <c r="Y10" s="23">
        <v>170</v>
      </c>
      <c r="Z10" s="23">
        <v>170</v>
      </c>
      <c r="AA10" s="23">
        <v>183</v>
      </c>
      <c r="AB10" s="13">
        <v>7</v>
      </c>
      <c r="AC10" s="13">
        <v>8</v>
      </c>
      <c r="AD10" s="13">
        <v>9</v>
      </c>
      <c r="AE10" s="13">
        <v>10</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55</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66</v>
      </c>
      <c r="E13" s="23" t="s">
        <v>55</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83</v>
      </c>
      <c r="E10" s="23" t="s">
        <v>55</v>
      </c>
      <c r="F10" s="23">
        <v>36.9</v>
      </c>
      <c r="G10" s="23">
        <v>0.17399999999999999</v>
      </c>
      <c r="H10" s="23">
        <v>29.1</v>
      </c>
      <c r="I10" s="23">
        <v>1.67</v>
      </c>
      <c r="J10" s="23">
        <v>66</v>
      </c>
      <c r="K10" s="23">
        <v>209</v>
      </c>
      <c r="L10" s="23">
        <v>35.700000000000003</v>
      </c>
      <c r="M10" s="23">
        <v>5</v>
      </c>
      <c r="N10" s="23">
        <v>10</v>
      </c>
      <c r="O10" s="23">
        <v>7</v>
      </c>
      <c r="P10" s="23">
        <v>8</v>
      </c>
      <c r="Q10" s="23">
        <v>43</v>
      </c>
      <c r="R10" s="23">
        <v>149.4</v>
      </c>
      <c r="S10" s="23">
        <v>39.700000000000003</v>
      </c>
      <c r="T10" s="23">
        <v>23.8</v>
      </c>
      <c r="U10" s="108">
        <v>588</v>
      </c>
      <c r="V10" s="23">
        <v>0.9</v>
      </c>
      <c r="W10" s="23">
        <v>6.07</v>
      </c>
      <c r="X10" s="23">
        <v>158</v>
      </c>
      <c r="Y10" s="23">
        <v>166</v>
      </c>
      <c r="Z10" s="23">
        <v>172</v>
      </c>
      <c r="AA10" s="23">
        <v>177</v>
      </c>
      <c r="AB10" s="13">
        <v>10</v>
      </c>
      <c r="AC10" s="13">
        <v>11</v>
      </c>
      <c r="AD10" s="13">
        <v>12</v>
      </c>
      <c r="AE10" s="13">
        <v>13</v>
      </c>
      <c r="AF10" s="14"/>
      <c r="AG10" s="24"/>
    </row>
    <row r="11" spans="1:34" x14ac:dyDescent="0.55000000000000004">
      <c r="A11" s="19">
        <v>2025</v>
      </c>
      <c r="B11" s="20">
        <v>11</v>
      </c>
      <c r="C11" s="106">
        <v>45978</v>
      </c>
      <c r="D11" s="23" t="s">
        <v>83</v>
      </c>
      <c r="E11" s="23" t="s">
        <v>55</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83</v>
      </c>
      <c r="E12" s="23" t="s">
        <v>55</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83</v>
      </c>
      <c r="E13" s="23" t="s">
        <v>55</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v>46069</v>
      </c>
      <c r="D14" s="23" t="s">
        <v>329</v>
      </c>
      <c r="E14" s="23" t="s">
        <v>326</v>
      </c>
      <c r="F14" s="23">
        <v>39.299999999999997</v>
      </c>
      <c r="G14" s="23">
        <v>0.17</v>
      </c>
      <c r="H14" s="23">
        <v>30</v>
      </c>
      <c r="I14" s="23">
        <v>1.77</v>
      </c>
      <c r="J14" s="23">
        <v>66</v>
      </c>
      <c r="K14" s="23">
        <v>205</v>
      </c>
      <c r="L14" s="23">
        <v>38.200000000000003</v>
      </c>
      <c r="M14" s="23">
        <v>6</v>
      </c>
      <c r="N14" s="23">
        <v>10</v>
      </c>
      <c r="O14" s="23">
        <v>8</v>
      </c>
      <c r="P14" s="23">
        <v>7</v>
      </c>
      <c r="Q14" s="23">
        <v>42</v>
      </c>
      <c r="R14" s="23">
        <v>151.6</v>
      </c>
      <c r="S14" s="23">
        <v>41.4</v>
      </c>
      <c r="T14" s="23">
        <v>23.5</v>
      </c>
      <c r="U14" s="108">
        <v>559</v>
      </c>
      <c r="V14" s="23">
        <v>0.89</v>
      </c>
      <c r="W14" s="23">
        <v>5.56</v>
      </c>
      <c r="X14" s="23">
        <v>148</v>
      </c>
      <c r="Y14" s="23">
        <v>151</v>
      </c>
      <c r="Z14" s="23">
        <v>161</v>
      </c>
      <c r="AA14" s="23">
        <v>161</v>
      </c>
      <c r="AB14" s="13">
        <v>9</v>
      </c>
      <c r="AC14" s="13">
        <v>10</v>
      </c>
      <c r="AD14" s="13">
        <v>11</v>
      </c>
      <c r="AE14" s="13">
        <v>12</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75</v>
      </c>
      <c r="E10" s="23" t="s">
        <v>55</v>
      </c>
      <c r="F10" s="23">
        <v>22.6</v>
      </c>
      <c r="G10" s="23">
        <v>0.23799999999999999</v>
      </c>
      <c r="H10" s="23">
        <v>18.5</v>
      </c>
      <c r="I10" s="23">
        <v>0.78</v>
      </c>
      <c r="J10" s="23">
        <v>53</v>
      </c>
      <c r="K10" s="23">
        <v>150</v>
      </c>
      <c r="L10" s="23">
        <v>21.2</v>
      </c>
      <c r="M10" s="23">
        <v>6</v>
      </c>
      <c r="N10" s="23">
        <v>9</v>
      </c>
      <c r="O10" s="23">
        <v>6</v>
      </c>
      <c r="P10" s="23">
        <v>7</v>
      </c>
      <c r="Q10" s="23">
        <v>46</v>
      </c>
      <c r="R10" s="23">
        <v>145.1</v>
      </c>
      <c r="S10" s="23">
        <v>46.6</v>
      </c>
      <c r="T10" s="23">
        <v>19.8</v>
      </c>
      <c r="U10" s="108">
        <v>675</v>
      </c>
      <c r="V10" s="23">
        <v>0.97</v>
      </c>
      <c r="W10" s="23">
        <v>6.67</v>
      </c>
      <c r="X10" s="23">
        <v>181</v>
      </c>
      <c r="Y10" s="23">
        <v>192</v>
      </c>
      <c r="Z10" s="23">
        <v>193</v>
      </c>
      <c r="AA10" s="23">
        <v>201</v>
      </c>
      <c r="AB10" s="13">
        <v>8</v>
      </c>
      <c r="AC10" s="13">
        <v>9</v>
      </c>
      <c r="AD10" s="13">
        <v>10</v>
      </c>
      <c r="AE10" s="13">
        <v>11</v>
      </c>
      <c r="AF10" s="14"/>
      <c r="AG10" s="24"/>
    </row>
    <row r="11" spans="1:34" x14ac:dyDescent="0.55000000000000004">
      <c r="A11" s="19">
        <v>2025</v>
      </c>
      <c r="B11" s="20">
        <v>11</v>
      </c>
      <c r="C11" s="106">
        <v>45978</v>
      </c>
      <c r="D11" s="23" t="s">
        <v>62</v>
      </c>
      <c r="E11" s="23" t="s">
        <v>55</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62</v>
      </c>
      <c r="E12" s="23" t="s">
        <v>55</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62</v>
      </c>
      <c r="E13" s="23" t="s">
        <v>55</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v>46069</v>
      </c>
      <c r="D14" s="23" t="s">
        <v>325</v>
      </c>
      <c r="E14" s="23" t="s">
        <v>326</v>
      </c>
      <c r="F14" s="23">
        <v>26.7</v>
      </c>
      <c r="G14" s="23">
        <v>0.193</v>
      </c>
      <c r="H14" s="23">
        <v>18.8</v>
      </c>
      <c r="I14" s="23">
        <v>0.98</v>
      </c>
      <c r="J14" s="23">
        <v>57</v>
      </c>
      <c r="K14" s="23">
        <v>148</v>
      </c>
      <c r="L14" s="23">
        <v>26.6</v>
      </c>
      <c r="M14" s="23">
        <v>6</v>
      </c>
      <c r="N14" s="23">
        <v>10</v>
      </c>
      <c r="O14" s="23">
        <v>7</v>
      </c>
      <c r="P14" s="23">
        <v>7</v>
      </c>
      <c r="Q14" s="23">
        <v>46</v>
      </c>
      <c r="R14" s="23">
        <v>146.69999999999999</v>
      </c>
      <c r="S14" s="23">
        <v>47.7</v>
      </c>
      <c r="T14" s="23">
        <v>21.7</v>
      </c>
      <c r="U14" s="108">
        <v>478</v>
      </c>
      <c r="V14" s="23">
        <v>0.87</v>
      </c>
      <c r="W14" s="23">
        <v>6.49</v>
      </c>
      <c r="X14" s="23">
        <v>174</v>
      </c>
      <c r="Y14" s="23">
        <v>185</v>
      </c>
      <c r="Z14" s="23">
        <v>196</v>
      </c>
      <c r="AA14" s="23">
        <v>198</v>
      </c>
      <c r="AB14" s="13">
        <v>8</v>
      </c>
      <c r="AC14" s="13">
        <v>9</v>
      </c>
      <c r="AD14" s="13">
        <v>10</v>
      </c>
      <c r="AE14" s="13">
        <v>11</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64</v>
      </c>
      <c r="E10" s="23" t="s">
        <v>55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62</v>
      </c>
      <c r="E13" s="23" t="s">
        <v>55</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496</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71</v>
      </c>
      <c r="E10" s="23" t="s">
        <v>68</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75</v>
      </c>
      <c r="E13" s="23" t="s">
        <v>68</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497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U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70</v>
      </c>
      <c r="E11" s="23" t="s">
        <v>68</v>
      </c>
      <c r="F11" s="23">
        <v>13</v>
      </c>
      <c r="G11" s="23">
        <v>0.17899999999999999</v>
      </c>
      <c r="H11" s="23">
        <v>8</v>
      </c>
      <c r="I11" s="23">
        <v>0.55000000000000004</v>
      </c>
      <c r="J11" s="23">
        <v>30</v>
      </c>
      <c r="K11" s="23">
        <v>83</v>
      </c>
      <c r="L11" s="23">
        <v>12.7</v>
      </c>
      <c r="M11" s="23">
        <v>2</v>
      </c>
      <c r="N11" s="23">
        <v>5</v>
      </c>
      <c r="O11" s="23">
        <v>1</v>
      </c>
      <c r="P11" s="23">
        <v>1</v>
      </c>
      <c r="Q11" s="23">
        <v>57</v>
      </c>
      <c r="R11" s="23">
        <v>111</v>
      </c>
      <c r="S11" s="23">
        <v>21.8</v>
      </c>
      <c r="T11" s="23">
        <v>11.7</v>
      </c>
      <c r="U11" s="108">
        <v>367</v>
      </c>
      <c r="V11" s="23">
        <v>0.9</v>
      </c>
      <c r="W11" s="23">
        <v>9.69</v>
      </c>
      <c r="X11" s="23">
        <v>114</v>
      </c>
      <c r="Y11" s="23">
        <v>127</v>
      </c>
      <c r="Z11" s="23">
        <v>178</v>
      </c>
      <c r="AA11" s="23">
        <v>186</v>
      </c>
      <c r="AB11" s="13">
        <v>5</v>
      </c>
      <c r="AC11" s="13">
        <v>6</v>
      </c>
      <c r="AD11" s="13">
        <v>7</v>
      </c>
      <c r="AE11" s="13">
        <v>8</v>
      </c>
      <c r="AF11" s="14"/>
      <c r="AG11" s="24"/>
    </row>
    <row r="12" spans="1:34" x14ac:dyDescent="0.55000000000000004">
      <c r="A12" s="19">
        <v>2025</v>
      </c>
      <c r="B12" s="20">
        <v>12</v>
      </c>
      <c r="C12" s="106">
        <v>46013</v>
      </c>
      <c r="D12" s="23" t="s">
        <v>70</v>
      </c>
      <c r="E12" s="23" t="s">
        <v>68</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70</v>
      </c>
      <c r="E13" s="23" t="s">
        <v>68</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333</v>
      </c>
      <c r="AG13" s="24"/>
    </row>
    <row r="14" spans="1:34" x14ac:dyDescent="0.55000000000000004">
      <c r="A14" s="19">
        <v>2025</v>
      </c>
      <c r="B14" s="20">
        <v>2</v>
      </c>
      <c r="C14" s="106">
        <v>46069</v>
      </c>
      <c r="D14" s="23" t="s">
        <v>684</v>
      </c>
      <c r="E14" s="23" t="s">
        <v>327</v>
      </c>
      <c r="F14" s="23">
        <v>12.5</v>
      </c>
      <c r="G14" s="23">
        <v>0.186</v>
      </c>
      <c r="H14" s="23">
        <v>13.1</v>
      </c>
      <c r="I14" s="23">
        <v>0.7</v>
      </c>
      <c r="J14" s="23">
        <v>39</v>
      </c>
      <c r="K14" s="23">
        <v>80</v>
      </c>
      <c r="L14" s="23">
        <v>12.2</v>
      </c>
      <c r="M14" s="23">
        <v>4</v>
      </c>
      <c r="N14" s="23">
        <v>7</v>
      </c>
      <c r="O14" s="23">
        <v>7</v>
      </c>
      <c r="P14" s="23">
        <v>4</v>
      </c>
      <c r="Q14" s="23">
        <v>54</v>
      </c>
      <c r="R14" s="23">
        <v>113.5</v>
      </c>
      <c r="S14" s="23">
        <v>24</v>
      </c>
      <c r="T14" s="23">
        <v>13.4</v>
      </c>
      <c r="U14" s="108">
        <v>355</v>
      </c>
      <c r="V14" s="23">
        <v>0.88</v>
      </c>
      <c r="W14" s="23">
        <v>8.52</v>
      </c>
      <c r="X14" s="23">
        <v>173</v>
      </c>
      <c r="Y14" s="23">
        <v>179</v>
      </c>
      <c r="Z14" s="23">
        <v>194</v>
      </c>
      <c r="AA14" s="23">
        <v>201</v>
      </c>
      <c r="AB14" s="13">
        <v>6</v>
      </c>
      <c r="AC14" s="13">
        <v>7</v>
      </c>
      <c r="AD14" s="13">
        <v>8</v>
      </c>
      <c r="AE14" s="13">
        <v>9</v>
      </c>
      <c r="AF14" s="14" t="s">
        <v>685</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500</v>
      </c>
      <c r="E11" s="23" t="s">
        <v>326</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62</v>
      </c>
      <c r="E12" s="23" t="s">
        <v>55</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75</v>
      </c>
      <c r="E12" s="23" t="s">
        <v>55</v>
      </c>
      <c r="F12" s="23">
        <v>26.2</v>
      </c>
      <c r="G12" s="23">
        <v>0.17899999999999999</v>
      </c>
      <c r="H12" s="23">
        <v>21.7</v>
      </c>
      <c r="I12" s="23">
        <v>1.21</v>
      </c>
      <c r="J12" s="23">
        <v>46</v>
      </c>
      <c r="K12" s="23">
        <v>146</v>
      </c>
      <c r="L12" s="23">
        <v>25.9</v>
      </c>
      <c r="M12" s="23">
        <v>4</v>
      </c>
      <c r="N12" s="23">
        <v>9</v>
      </c>
      <c r="O12" s="23">
        <v>3</v>
      </c>
      <c r="P12" s="23">
        <v>5</v>
      </c>
      <c r="Q12" s="23">
        <v>48</v>
      </c>
      <c r="R12" s="23">
        <v>134.80000000000001</v>
      </c>
      <c r="S12" s="23">
        <v>30.8</v>
      </c>
      <c r="T12" s="23">
        <v>20.7</v>
      </c>
      <c r="U12" s="108">
        <v>436</v>
      </c>
      <c r="V12" s="23">
        <v>0.86</v>
      </c>
      <c r="W12" s="23">
        <v>7.56</v>
      </c>
      <c r="X12" s="23">
        <v>117</v>
      </c>
      <c r="Y12" s="23">
        <v>175</v>
      </c>
      <c r="Z12" s="23">
        <v>180</v>
      </c>
      <c r="AA12" s="23">
        <v>189</v>
      </c>
      <c r="AB12" s="13">
        <v>7</v>
      </c>
      <c r="AC12" s="13">
        <v>8</v>
      </c>
      <c r="AD12" s="13">
        <v>9</v>
      </c>
      <c r="AE12" s="13">
        <v>10</v>
      </c>
      <c r="AF12" s="14"/>
      <c r="AG12" s="24"/>
    </row>
    <row r="13" spans="1:34" x14ac:dyDescent="0.55000000000000004">
      <c r="A13" s="19">
        <v>2025</v>
      </c>
      <c r="B13" s="20">
        <v>1</v>
      </c>
      <c r="C13" s="106">
        <v>46050</v>
      </c>
      <c r="D13" s="23" t="s">
        <v>75</v>
      </c>
      <c r="E13" s="23" t="s">
        <v>55</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62</v>
      </c>
      <c r="E11" s="23" t="s">
        <v>55</v>
      </c>
      <c r="F11" s="23">
        <v>29.7</v>
      </c>
      <c r="G11" s="23">
        <v>0.187</v>
      </c>
      <c r="H11" s="23">
        <v>22.2</v>
      </c>
      <c r="I11" s="23">
        <v>1.19</v>
      </c>
      <c r="J11" s="23">
        <v>54</v>
      </c>
      <c r="K11" s="23">
        <v>197</v>
      </c>
      <c r="L11" s="23">
        <v>27</v>
      </c>
      <c r="M11" s="23">
        <v>6</v>
      </c>
      <c r="N11" s="23">
        <v>10</v>
      </c>
      <c r="O11" s="23">
        <v>8</v>
      </c>
      <c r="P11" s="23">
        <v>8</v>
      </c>
      <c r="Q11" s="23">
        <v>46</v>
      </c>
      <c r="R11" s="23">
        <v>142.80000000000001</v>
      </c>
      <c r="S11" s="23">
        <v>36</v>
      </c>
      <c r="T11" s="23">
        <v>20</v>
      </c>
      <c r="U11" s="108">
        <v>562</v>
      </c>
      <c r="V11" s="23">
        <v>0.92</v>
      </c>
      <c r="W11" s="23">
        <v>6.72</v>
      </c>
      <c r="X11" s="23">
        <v>140</v>
      </c>
      <c r="Y11" s="23">
        <v>149</v>
      </c>
      <c r="Z11" s="23">
        <v>163</v>
      </c>
      <c r="AA11" s="23">
        <v>166</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71</v>
      </c>
      <c r="E12" s="23" t="s">
        <v>68</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75</v>
      </c>
      <c r="E13" s="23" t="s">
        <v>68</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75</v>
      </c>
      <c r="E12" s="23" t="s">
        <v>68</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75</v>
      </c>
      <c r="E12" s="23" t="s">
        <v>68</v>
      </c>
      <c r="F12" s="23">
        <v>20</v>
      </c>
      <c r="G12" s="23">
        <v>0.2</v>
      </c>
      <c r="H12" s="23">
        <v>17.600000000000001</v>
      </c>
      <c r="I12" s="23">
        <v>0.88</v>
      </c>
      <c r="J12" s="23">
        <v>49</v>
      </c>
      <c r="K12" s="23">
        <v>127</v>
      </c>
      <c r="L12" s="23">
        <v>18</v>
      </c>
      <c r="M12" s="23">
        <v>7</v>
      </c>
      <c r="N12" s="23">
        <v>7</v>
      </c>
      <c r="O12" s="23">
        <v>4</v>
      </c>
      <c r="P12" s="23">
        <v>9</v>
      </c>
      <c r="Q12" s="23">
        <v>46</v>
      </c>
      <c r="R12" s="23">
        <v>140</v>
      </c>
      <c r="S12" s="23">
        <v>29.4</v>
      </c>
      <c r="T12" s="23">
        <v>15.9</v>
      </c>
      <c r="U12" s="108">
        <v>453</v>
      </c>
      <c r="V12" s="23">
        <v>0.9</v>
      </c>
      <c r="W12" s="23">
        <v>8.08</v>
      </c>
      <c r="X12" s="23">
        <v>131</v>
      </c>
      <c r="Y12" s="23">
        <v>150</v>
      </c>
      <c r="Z12" s="23">
        <v>174</v>
      </c>
      <c r="AA12" s="23">
        <v>176</v>
      </c>
      <c r="AB12" s="13">
        <v>7</v>
      </c>
      <c r="AC12" s="13">
        <v>8</v>
      </c>
      <c r="AD12" s="13">
        <v>9</v>
      </c>
      <c r="AE12" s="13">
        <v>8</v>
      </c>
      <c r="AF12" s="14"/>
      <c r="AG12" s="24"/>
    </row>
    <row r="13" spans="1:34" x14ac:dyDescent="0.55000000000000004">
      <c r="A13" s="19">
        <v>2025</v>
      </c>
      <c r="B13" s="20">
        <v>1</v>
      </c>
      <c r="C13" s="106">
        <v>46048</v>
      </c>
      <c r="D13" s="23" t="s">
        <v>75</v>
      </c>
      <c r="E13" s="23" t="s">
        <v>68</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106">
        <v>46069</v>
      </c>
      <c r="D14" s="23" t="s">
        <v>328</v>
      </c>
      <c r="E14" s="23" t="s">
        <v>327</v>
      </c>
      <c r="F14" s="23">
        <v>21.6</v>
      </c>
      <c r="G14" s="23">
        <v>0.2</v>
      </c>
      <c r="H14" s="23">
        <v>16.3</v>
      </c>
      <c r="I14" s="23">
        <v>0.82</v>
      </c>
      <c r="J14" s="23">
        <v>50</v>
      </c>
      <c r="K14" s="23">
        <v>136</v>
      </c>
      <c r="L14" s="23">
        <v>22.5</v>
      </c>
      <c r="M14" s="23">
        <v>5</v>
      </c>
      <c r="N14" s="23">
        <v>10</v>
      </c>
      <c r="O14" s="23">
        <v>8</v>
      </c>
      <c r="P14" s="23">
        <v>4</v>
      </c>
      <c r="Q14" s="23">
        <v>44</v>
      </c>
      <c r="R14" s="23">
        <v>141.1</v>
      </c>
      <c r="S14" s="23">
        <v>30</v>
      </c>
      <c r="T14" s="23">
        <v>16.8</v>
      </c>
      <c r="U14" s="108">
        <v>425</v>
      </c>
      <c r="V14" s="23">
        <v>0.88</v>
      </c>
      <c r="W14" s="23">
        <v>7.1</v>
      </c>
      <c r="X14" s="23">
        <v>183</v>
      </c>
      <c r="Y14" s="23">
        <v>188</v>
      </c>
      <c r="Z14" s="23">
        <v>191</v>
      </c>
      <c r="AA14" s="23">
        <v>192</v>
      </c>
      <c r="AB14" s="13">
        <v>7</v>
      </c>
      <c r="AC14" s="13">
        <v>8</v>
      </c>
      <c r="AD14" s="13">
        <v>9</v>
      </c>
      <c r="AE14" s="13">
        <v>9</v>
      </c>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64</v>
      </c>
      <c r="E12" s="23" t="s">
        <v>55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66</v>
      </c>
      <c r="E13" s="23" t="s">
        <v>55</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578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499</v>
      </c>
      <c r="E12" s="23" t="s">
        <v>326</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89</v>
      </c>
      <c r="E13" s="23" t="s">
        <v>55</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579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67</v>
      </c>
      <c r="E12" s="23" t="s">
        <v>55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70</v>
      </c>
      <c r="E13" s="23" t="s">
        <v>55</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580</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208</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66</v>
      </c>
      <c r="E13" s="23" t="s">
        <v>68</v>
      </c>
      <c r="F13" s="23">
        <v>22</v>
      </c>
      <c r="G13" s="23">
        <v>0.156</v>
      </c>
      <c r="H13" s="23">
        <v>22.4</v>
      </c>
      <c r="I13" s="23">
        <v>1.43</v>
      </c>
      <c r="J13" s="23">
        <v>54</v>
      </c>
      <c r="K13" s="23">
        <v>155</v>
      </c>
      <c r="L13" s="23">
        <v>19.7</v>
      </c>
      <c r="M13" s="23">
        <v>4</v>
      </c>
      <c r="N13" s="23">
        <v>10</v>
      </c>
      <c r="O13" s="23">
        <v>6</v>
      </c>
      <c r="P13" s="23">
        <v>4</v>
      </c>
      <c r="Q13" s="23">
        <v>44</v>
      </c>
      <c r="R13" s="23">
        <v>142.5</v>
      </c>
      <c r="S13" s="23">
        <v>32.799999999999997</v>
      </c>
      <c r="T13" s="23">
        <v>17.8</v>
      </c>
      <c r="U13" s="108">
        <v>562</v>
      </c>
      <c r="V13" s="23">
        <v>0.93</v>
      </c>
      <c r="W13" s="23">
        <v>7.88</v>
      </c>
      <c r="X13" s="23">
        <v>130</v>
      </c>
      <c r="Y13" s="23">
        <v>144</v>
      </c>
      <c r="Z13" s="23">
        <v>151</v>
      </c>
      <c r="AA13" s="23">
        <v>160</v>
      </c>
      <c r="AB13" s="13">
        <v>8</v>
      </c>
      <c r="AC13" s="13">
        <v>9</v>
      </c>
      <c r="AD13" s="13">
        <v>10</v>
      </c>
      <c r="AE13" s="13">
        <v>11</v>
      </c>
      <c r="AF13" s="14" t="s">
        <v>498</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H193"/>
  <sheetViews>
    <sheetView tabSelected="1" zoomScale="75" zoomScaleNormal="75" workbookViewId="0">
      <selection activeCell="G13" sqref="G13"/>
    </sheetView>
  </sheetViews>
  <sheetFormatPr defaultColWidth="9" defaultRowHeight="18" x14ac:dyDescent="0.55000000000000004"/>
  <cols>
    <col min="1" max="1" width="19.08203125" style="1" customWidth="1"/>
    <col min="2" max="2" width="10.58203125" style="1" customWidth="1"/>
    <col min="3" max="3" width="6.1640625" style="1" customWidth="1"/>
    <col min="4" max="4" width="5.1640625" style="1" bestFit="1" customWidth="1"/>
    <col min="5" max="5" width="26.4140625" style="1" customWidth="1"/>
    <col min="6" max="6" width="10.58203125" style="1" customWidth="1"/>
    <col min="7" max="7" width="19.58203125" style="1" customWidth="1"/>
    <col min="8" max="8" width="20.1640625" style="1" customWidth="1"/>
    <col min="9" max="9" width="15.4140625" style="1" customWidth="1"/>
    <col min="10" max="10" width="4.6640625" style="1" customWidth="1"/>
    <col min="11" max="11" width="11.58203125" style="1" customWidth="1"/>
    <col min="12" max="12" width="5.1640625" style="1" bestFit="1" customWidth="1"/>
    <col min="13" max="13" width="6.1640625" style="1" customWidth="1"/>
    <col min="14" max="14" width="5.6640625" style="1" customWidth="1"/>
    <col min="15" max="15" width="4.58203125" style="1" customWidth="1"/>
    <col min="16" max="16" width="11.9140625" style="1" customWidth="1"/>
    <col min="17" max="17" width="4.58203125" style="1" customWidth="1"/>
    <col min="18" max="18" width="11.9140625" style="1" customWidth="1"/>
    <col min="19" max="19" width="4.58203125" style="1" customWidth="1"/>
    <col min="20" max="20" width="11.9140625" style="1" customWidth="1"/>
    <col min="21" max="21" width="4.58203125" style="1" customWidth="1"/>
    <col min="22" max="22" width="11.9140625" style="1" customWidth="1"/>
    <col min="23" max="23" width="4.58203125" style="1" customWidth="1"/>
    <col min="24" max="24" width="11.9140625" style="1" customWidth="1"/>
    <col min="25" max="25" width="4.58203125" style="1" customWidth="1"/>
    <col min="26" max="26" width="11.9140625" style="1" customWidth="1"/>
    <col min="27" max="27" width="4.58203125" style="1" customWidth="1"/>
    <col min="28" max="28" width="11.9140625" style="1" customWidth="1"/>
    <col min="29" max="29" width="4.58203125" style="1" customWidth="1"/>
    <col min="30" max="30" width="11.9140625" style="1" customWidth="1"/>
    <col min="31" max="31" width="4.58203125" style="1" customWidth="1"/>
    <col min="32" max="32" width="11.9140625" style="1" customWidth="1"/>
    <col min="33" max="33" width="4.58203125" style="1" customWidth="1"/>
    <col min="34" max="34" width="11.9140625" style="1" customWidth="1"/>
    <col min="35" max="35" width="4.58203125" style="1" customWidth="1"/>
    <col min="36" max="36" width="11.9140625" style="1" customWidth="1"/>
    <col min="37" max="37" width="4.58203125" style="1" customWidth="1"/>
    <col min="38" max="38" width="11.9140625" style="1" customWidth="1"/>
    <col min="39" max="39" width="4.58203125" style="1" customWidth="1"/>
    <col min="40" max="40" width="11.9140625" style="1" customWidth="1"/>
    <col min="41" max="41" width="4.58203125" style="1" customWidth="1"/>
    <col min="42" max="42" width="11.9140625" style="1" customWidth="1"/>
    <col min="43" max="43" width="4.58203125" style="1" customWidth="1"/>
    <col min="44" max="44" width="11.9140625" style="1" customWidth="1"/>
    <col min="45" max="45" width="4.58203125" style="1" customWidth="1"/>
    <col min="46" max="46" width="11.9140625" style="1" customWidth="1"/>
    <col min="47" max="47" width="4.58203125" style="1" customWidth="1"/>
    <col min="48" max="48" width="11.9140625" style="1" customWidth="1"/>
    <col min="49" max="49" width="4.58203125" style="1" customWidth="1"/>
    <col min="50" max="50" width="11.9140625" style="1" customWidth="1"/>
    <col min="51" max="51" width="4.58203125" style="1" customWidth="1"/>
    <col min="52" max="52" width="11.9140625" style="1" customWidth="1"/>
    <col min="53" max="53" width="4.58203125" style="1" customWidth="1"/>
    <col min="54" max="54" width="11.9140625" style="1" customWidth="1"/>
    <col min="55" max="55" width="4.58203125" style="1" customWidth="1"/>
    <col min="56" max="56" width="11.9140625" style="1" customWidth="1"/>
    <col min="57" max="57" width="4.58203125" style="1" customWidth="1"/>
    <col min="58" max="58" width="11.9140625" style="1" customWidth="1"/>
    <col min="59" max="59" width="4.58203125" style="1" customWidth="1"/>
    <col min="60" max="60" width="11.9140625" style="1" customWidth="1"/>
    <col min="61" max="61" width="4.58203125" style="1" customWidth="1"/>
    <col min="62" max="62" width="11.9140625" style="1" customWidth="1"/>
    <col min="63" max="63" width="4.58203125" style="1" customWidth="1"/>
    <col min="64" max="64" width="11.9140625" style="1" customWidth="1"/>
    <col min="65" max="65" width="4.58203125" style="1" customWidth="1"/>
    <col min="66" max="66" width="11.9140625" style="1" customWidth="1"/>
    <col min="67" max="67" width="4.58203125" style="1" customWidth="1"/>
    <col min="68" max="68" width="11.9140625" style="1" customWidth="1"/>
    <col min="69" max="69" width="4.58203125" style="1" customWidth="1"/>
    <col min="70" max="70" width="11.9140625" style="1" customWidth="1"/>
    <col min="71" max="71" width="4.58203125" style="1" customWidth="1"/>
    <col min="72" max="72" width="11.9140625" style="1" customWidth="1"/>
    <col min="73" max="73" width="4.58203125" style="1" customWidth="1"/>
    <col min="74" max="74" width="11.9140625" style="1" customWidth="1"/>
    <col min="75" max="75" width="4.58203125" style="1" customWidth="1"/>
    <col min="76" max="76" width="11.9140625" style="1" customWidth="1"/>
    <col min="77" max="77" width="4.58203125" style="1" customWidth="1"/>
    <col min="78" max="78" width="11.9140625" style="1" customWidth="1"/>
    <col min="79" max="79" width="4.58203125" style="1" customWidth="1"/>
    <col min="80" max="80" width="11.9140625" style="1" customWidth="1"/>
    <col min="81" max="81" width="4.58203125" style="1" customWidth="1"/>
    <col min="82" max="82" width="11.9140625" style="1" customWidth="1"/>
    <col min="83" max="83" width="4.58203125" style="1" customWidth="1"/>
    <col min="84" max="84" width="11.9140625" style="1" customWidth="1"/>
    <col min="85" max="85" width="4.58203125" style="1" customWidth="1"/>
    <col min="86" max="86" width="11.9140625" style="1" customWidth="1"/>
    <col min="87" max="16384" width="9" style="1"/>
  </cols>
  <sheetData>
    <row r="1" spans="1:86" ht="20.25" customHeight="1" x14ac:dyDescent="0.55000000000000004">
      <c r="A1" s="180"/>
      <c r="B1" s="180"/>
      <c r="C1" s="180"/>
      <c r="D1" s="180"/>
      <c r="E1" s="180"/>
      <c r="F1" s="178" t="s">
        <v>16</v>
      </c>
      <c r="G1" s="180"/>
      <c r="H1" s="180"/>
      <c r="I1" s="180"/>
      <c r="J1" s="180"/>
      <c r="K1" s="180"/>
      <c r="L1" s="180"/>
      <c r="M1" s="180"/>
      <c r="N1" s="179"/>
      <c r="O1" s="178" t="s">
        <v>17</v>
      </c>
      <c r="P1" s="179" t="s">
        <v>17</v>
      </c>
      <c r="Q1" s="178" t="s">
        <v>18</v>
      </c>
      <c r="R1" s="179" t="s">
        <v>18</v>
      </c>
      <c r="S1" s="178" t="s">
        <v>19</v>
      </c>
      <c r="T1" s="179" t="s">
        <v>19</v>
      </c>
      <c r="U1" s="178" t="s">
        <v>20</v>
      </c>
      <c r="V1" s="179" t="s">
        <v>20</v>
      </c>
      <c r="W1" s="178" t="s">
        <v>21</v>
      </c>
      <c r="X1" s="179" t="s">
        <v>21</v>
      </c>
      <c r="Y1" s="178" t="s">
        <v>22</v>
      </c>
      <c r="Z1" s="179" t="s">
        <v>22</v>
      </c>
      <c r="AA1" s="178" t="s">
        <v>23</v>
      </c>
      <c r="AB1" s="179" t="s">
        <v>23</v>
      </c>
      <c r="AC1" s="178" t="s">
        <v>24</v>
      </c>
      <c r="AD1" s="179" t="s">
        <v>24</v>
      </c>
      <c r="AE1" s="178" t="s">
        <v>25</v>
      </c>
      <c r="AF1" s="179" t="s">
        <v>25</v>
      </c>
      <c r="AG1" s="178" t="s">
        <v>26</v>
      </c>
      <c r="AH1" s="179" t="s">
        <v>26</v>
      </c>
      <c r="AI1" s="178" t="s">
        <v>27</v>
      </c>
      <c r="AJ1" s="179" t="s">
        <v>27</v>
      </c>
      <c r="AK1" s="178" t="s">
        <v>28</v>
      </c>
      <c r="AL1" s="179" t="s">
        <v>28</v>
      </c>
      <c r="AM1" s="178" t="s">
        <v>29</v>
      </c>
      <c r="AN1" s="179" t="s">
        <v>29</v>
      </c>
      <c r="AO1" s="178" t="s">
        <v>30</v>
      </c>
      <c r="AP1" s="179" t="s">
        <v>30</v>
      </c>
      <c r="AQ1" s="178" t="s">
        <v>31</v>
      </c>
      <c r="AR1" s="179" t="s">
        <v>31</v>
      </c>
      <c r="AS1" s="178" t="s">
        <v>32</v>
      </c>
      <c r="AT1" s="179" t="s">
        <v>32</v>
      </c>
      <c r="AU1" s="178" t="s">
        <v>33</v>
      </c>
      <c r="AV1" s="179" t="s">
        <v>33</v>
      </c>
      <c r="AW1" s="178" t="s">
        <v>34</v>
      </c>
      <c r="AX1" s="179" t="s">
        <v>34</v>
      </c>
      <c r="AY1" s="178" t="s">
        <v>35</v>
      </c>
      <c r="AZ1" s="179" t="s">
        <v>35</v>
      </c>
      <c r="BA1" s="178" t="s">
        <v>36</v>
      </c>
      <c r="BB1" s="179" t="s">
        <v>36</v>
      </c>
      <c r="BC1" s="178" t="s">
        <v>37</v>
      </c>
      <c r="BD1" s="179" t="s">
        <v>37</v>
      </c>
      <c r="BE1" s="178" t="s">
        <v>38</v>
      </c>
      <c r="BF1" s="179" t="s">
        <v>38</v>
      </c>
      <c r="BG1" s="178" t="s">
        <v>39</v>
      </c>
      <c r="BH1" s="179" t="s">
        <v>39</v>
      </c>
      <c r="BI1" s="178" t="s">
        <v>40</v>
      </c>
      <c r="BJ1" s="179" t="s">
        <v>40</v>
      </c>
      <c r="BK1" s="178" t="s">
        <v>41</v>
      </c>
      <c r="BL1" s="179" t="s">
        <v>41</v>
      </c>
      <c r="BM1" s="178" t="s">
        <v>42</v>
      </c>
      <c r="BN1" s="179" t="s">
        <v>42</v>
      </c>
      <c r="BO1" s="178" t="s">
        <v>43</v>
      </c>
      <c r="BP1" s="179" t="s">
        <v>43</v>
      </c>
      <c r="BQ1" s="178" t="s">
        <v>44</v>
      </c>
      <c r="BR1" s="179" t="s">
        <v>44</v>
      </c>
      <c r="BS1" s="178" t="s">
        <v>45</v>
      </c>
      <c r="BT1" s="179" t="s">
        <v>45</v>
      </c>
      <c r="BU1" s="178" t="s">
        <v>46</v>
      </c>
      <c r="BV1" s="179" t="s">
        <v>46</v>
      </c>
      <c r="BW1" s="178" t="s">
        <v>47</v>
      </c>
      <c r="BX1" s="179" t="s">
        <v>47</v>
      </c>
      <c r="BY1" s="178" t="s">
        <v>48</v>
      </c>
      <c r="BZ1" s="179" t="s">
        <v>48</v>
      </c>
      <c r="CA1" s="178" t="s">
        <v>49</v>
      </c>
      <c r="CB1" s="179" t="s">
        <v>49</v>
      </c>
      <c r="CC1" s="178" t="s">
        <v>50</v>
      </c>
      <c r="CD1" s="179" t="s">
        <v>50</v>
      </c>
      <c r="CE1" s="178" t="s">
        <v>51</v>
      </c>
      <c r="CF1" s="179" t="s">
        <v>51</v>
      </c>
      <c r="CG1" s="178" t="s">
        <v>52</v>
      </c>
      <c r="CH1" s="179" t="s">
        <v>52</v>
      </c>
    </row>
    <row r="2" spans="1:86" x14ac:dyDescent="0.55000000000000004">
      <c r="A2" s="2" t="s">
        <v>11</v>
      </c>
      <c r="B2" s="2" t="s">
        <v>12</v>
      </c>
      <c r="C2" s="2" t="s">
        <v>13</v>
      </c>
      <c r="D2" s="2" t="s">
        <v>14</v>
      </c>
      <c r="E2" s="2" t="s">
        <v>15</v>
      </c>
      <c r="F2" s="2" t="s">
        <v>3</v>
      </c>
      <c r="G2" s="2" t="s">
        <v>2</v>
      </c>
      <c r="H2" s="2" t="s">
        <v>4</v>
      </c>
      <c r="I2" s="2" t="s">
        <v>5</v>
      </c>
      <c r="J2" s="2" t="s">
        <v>6</v>
      </c>
      <c r="K2" s="2" t="s">
        <v>7</v>
      </c>
      <c r="L2" s="2" t="s">
        <v>1</v>
      </c>
      <c r="M2" s="2" t="s">
        <v>0</v>
      </c>
      <c r="N2" s="2" t="s">
        <v>8</v>
      </c>
      <c r="O2" s="2" t="s">
        <v>9</v>
      </c>
      <c r="P2" s="2" t="s">
        <v>10</v>
      </c>
      <c r="Q2" s="2" t="s">
        <v>9</v>
      </c>
      <c r="R2" s="2" t="s">
        <v>10</v>
      </c>
      <c r="S2" s="2" t="s">
        <v>9</v>
      </c>
      <c r="T2" s="2" t="s">
        <v>10</v>
      </c>
      <c r="U2" s="2" t="s">
        <v>9</v>
      </c>
      <c r="V2" s="2" t="s">
        <v>10</v>
      </c>
      <c r="W2" s="2" t="s">
        <v>9</v>
      </c>
      <c r="X2" s="2" t="s">
        <v>10</v>
      </c>
      <c r="Y2" s="2" t="s">
        <v>9</v>
      </c>
      <c r="Z2" s="2" t="s">
        <v>10</v>
      </c>
      <c r="AA2" s="2" t="s">
        <v>9</v>
      </c>
      <c r="AB2" s="2" t="s">
        <v>10</v>
      </c>
      <c r="AC2" s="2" t="s">
        <v>9</v>
      </c>
      <c r="AD2" s="2" t="s">
        <v>10</v>
      </c>
      <c r="AE2" s="2" t="s">
        <v>9</v>
      </c>
      <c r="AF2" s="2" t="s">
        <v>10</v>
      </c>
      <c r="AG2" s="2" t="s">
        <v>9</v>
      </c>
      <c r="AH2" s="2" t="s">
        <v>10</v>
      </c>
      <c r="AI2" s="2" t="s">
        <v>9</v>
      </c>
      <c r="AJ2" s="2" t="s">
        <v>10</v>
      </c>
      <c r="AK2" s="2" t="s">
        <v>9</v>
      </c>
      <c r="AL2" s="2" t="s">
        <v>10</v>
      </c>
      <c r="AM2" s="2" t="s">
        <v>9</v>
      </c>
      <c r="AN2" s="2" t="s">
        <v>10</v>
      </c>
      <c r="AO2" s="2" t="s">
        <v>9</v>
      </c>
      <c r="AP2" s="2" t="s">
        <v>10</v>
      </c>
      <c r="AQ2" s="2" t="s">
        <v>9</v>
      </c>
      <c r="AR2" s="2" t="s">
        <v>10</v>
      </c>
      <c r="AS2" s="2" t="s">
        <v>9</v>
      </c>
      <c r="AT2" s="2" t="s">
        <v>10</v>
      </c>
      <c r="AU2" s="2" t="s">
        <v>9</v>
      </c>
      <c r="AV2" s="2" t="s">
        <v>10</v>
      </c>
      <c r="AW2" s="2" t="s">
        <v>9</v>
      </c>
      <c r="AX2" s="2" t="s">
        <v>10</v>
      </c>
      <c r="AY2" s="2" t="s">
        <v>9</v>
      </c>
      <c r="AZ2" s="2" t="s">
        <v>10</v>
      </c>
      <c r="BA2" s="2" t="s">
        <v>9</v>
      </c>
      <c r="BB2" s="2" t="s">
        <v>10</v>
      </c>
      <c r="BC2" s="2" t="s">
        <v>9</v>
      </c>
      <c r="BD2" s="2" t="s">
        <v>10</v>
      </c>
      <c r="BE2" s="2" t="s">
        <v>9</v>
      </c>
      <c r="BF2" s="2" t="s">
        <v>10</v>
      </c>
      <c r="BG2" s="2" t="s">
        <v>9</v>
      </c>
      <c r="BH2" s="2" t="s">
        <v>10</v>
      </c>
      <c r="BI2" s="2" t="s">
        <v>9</v>
      </c>
      <c r="BJ2" s="2" t="s">
        <v>10</v>
      </c>
      <c r="BK2" s="2" t="s">
        <v>9</v>
      </c>
      <c r="BL2" s="2" t="s">
        <v>10</v>
      </c>
      <c r="BM2" s="2" t="s">
        <v>9</v>
      </c>
      <c r="BN2" s="2" t="s">
        <v>10</v>
      </c>
      <c r="BO2" s="2" t="s">
        <v>9</v>
      </c>
      <c r="BP2" s="2" t="s">
        <v>10</v>
      </c>
      <c r="BQ2" s="2" t="s">
        <v>9</v>
      </c>
      <c r="BR2" s="2" t="s">
        <v>10</v>
      </c>
      <c r="BS2" s="2" t="s">
        <v>9</v>
      </c>
      <c r="BT2" s="2" t="s">
        <v>10</v>
      </c>
      <c r="BU2" s="2" t="s">
        <v>9</v>
      </c>
      <c r="BV2" s="2" t="s">
        <v>10</v>
      </c>
      <c r="BW2" s="2" t="s">
        <v>9</v>
      </c>
      <c r="BX2" s="2" t="s">
        <v>10</v>
      </c>
      <c r="BY2" s="2" t="s">
        <v>9</v>
      </c>
      <c r="BZ2" s="2" t="s">
        <v>10</v>
      </c>
      <c r="CA2" s="2" t="s">
        <v>9</v>
      </c>
      <c r="CB2" s="2" t="s">
        <v>10</v>
      </c>
      <c r="CC2" s="2" t="s">
        <v>9</v>
      </c>
      <c r="CD2" s="2" t="s">
        <v>10</v>
      </c>
      <c r="CE2" s="2" t="s">
        <v>9</v>
      </c>
      <c r="CF2" s="2" t="s">
        <v>10</v>
      </c>
      <c r="CG2" s="2" t="s">
        <v>9</v>
      </c>
      <c r="CH2" s="2" t="s">
        <v>10</v>
      </c>
    </row>
    <row r="3" spans="1:86" x14ac:dyDescent="0.55000000000000004">
      <c r="A3" s="3" t="s">
        <v>718</v>
      </c>
      <c r="B3" s="3" t="s">
        <v>719</v>
      </c>
      <c r="C3" s="3" t="s">
        <v>424</v>
      </c>
      <c r="D3" s="3" t="s">
        <v>68</v>
      </c>
      <c r="E3" s="3" t="s">
        <v>65</v>
      </c>
      <c r="F3" s="3" t="s">
        <v>720</v>
      </c>
      <c r="G3" s="3" t="s">
        <v>53</v>
      </c>
      <c r="H3" s="3" t="s">
        <v>58</v>
      </c>
      <c r="I3" s="3" t="s">
        <v>59</v>
      </c>
      <c r="J3" s="3" t="s">
        <v>63</v>
      </c>
      <c r="K3" s="3" t="s">
        <v>61</v>
      </c>
      <c r="L3" s="3" t="s">
        <v>68</v>
      </c>
      <c r="M3" s="3" t="s">
        <v>424</v>
      </c>
      <c r="N3" s="3" t="s">
        <v>89</v>
      </c>
      <c r="O3" s="3" t="s">
        <v>56</v>
      </c>
      <c r="P3" s="3" t="s">
        <v>248</v>
      </c>
      <c r="Q3" s="3" t="s">
        <v>56</v>
      </c>
      <c r="R3" s="3" t="s">
        <v>249</v>
      </c>
      <c r="S3" s="3" t="s">
        <v>56</v>
      </c>
      <c r="T3" s="3" t="s">
        <v>224</v>
      </c>
      <c r="U3" s="3" t="s">
        <v>56</v>
      </c>
      <c r="V3" s="3" t="s">
        <v>209</v>
      </c>
      <c r="W3" s="3" t="s">
        <v>56</v>
      </c>
      <c r="X3" s="3" t="s">
        <v>368</v>
      </c>
      <c r="Y3" s="3" t="s">
        <v>56</v>
      </c>
      <c r="Z3" s="3" t="s">
        <v>222</v>
      </c>
      <c r="AA3" s="3" t="s">
        <v>56</v>
      </c>
      <c r="AB3" s="3" t="s">
        <v>376</v>
      </c>
      <c r="AC3" s="3" t="s">
        <v>56</v>
      </c>
      <c r="AD3" s="3" t="s">
        <v>387</v>
      </c>
      <c r="AE3" s="3" t="s">
        <v>56</v>
      </c>
      <c r="AF3" s="3" t="s">
        <v>721</v>
      </c>
      <c r="AG3" s="3" t="s">
        <v>56</v>
      </c>
      <c r="AH3" s="3" t="s">
        <v>722</v>
      </c>
      <c r="AI3" s="3" t="s">
        <v>56</v>
      </c>
      <c r="AJ3" s="3" t="s">
        <v>723</v>
      </c>
      <c r="AK3" s="3" t="s">
        <v>56</v>
      </c>
      <c r="AL3" s="3" t="s">
        <v>724</v>
      </c>
      <c r="AM3" s="3" t="s">
        <v>56</v>
      </c>
      <c r="AN3" s="3" t="s">
        <v>716</v>
      </c>
      <c r="AO3" s="3" t="s">
        <v>56</v>
      </c>
      <c r="AP3" s="3" t="s">
        <v>725</v>
      </c>
      <c r="AQ3" s="3" t="s">
        <v>56</v>
      </c>
      <c r="AR3" s="3" t="s">
        <v>624</v>
      </c>
      <c r="AS3" s="3" t="s">
        <v>56</v>
      </c>
      <c r="AT3" s="3" t="s">
        <v>347</v>
      </c>
      <c r="AU3" s="3" t="s">
        <v>56</v>
      </c>
      <c r="AV3" s="3" t="s">
        <v>726</v>
      </c>
      <c r="AW3" s="3" t="s">
        <v>56</v>
      </c>
      <c r="AX3" s="3" t="s">
        <v>236</v>
      </c>
      <c r="AY3" s="3" t="s">
        <v>56</v>
      </c>
      <c r="AZ3" s="3" t="s">
        <v>727</v>
      </c>
      <c r="BA3" s="3" t="s">
        <v>56</v>
      </c>
      <c r="BB3" s="3" t="s">
        <v>345</v>
      </c>
      <c r="BC3" s="3" t="s">
        <v>56</v>
      </c>
      <c r="BD3" s="3" t="s">
        <v>237</v>
      </c>
      <c r="BE3" s="3" t="s">
        <v>56</v>
      </c>
      <c r="BF3" s="3" t="s">
        <v>270</v>
      </c>
      <c r="BG3" s="3" t="s">
        <v>56</v>
      </c>
      <c r="BH3" s="3" t="s">
        <v>245</v>
      </c>
      <c r="BI3" s="3" t="s">
        <v>56</v>
      </c>
      <c r="BJ3" s="3" t="s">
        <v>371</v>
      </c>
      <c r="BK3" s="3" t="s">
        <v>56</v>
      </c>
      <c r="BL3" s="3" t="s">
        <v>258</v>
      </c>
      <c r="BM3" s="3" t="s">
        <v>56</v>
      </c>
      <c r="BN3" s="3" t="s">
        <v>261</v>
      </c>
      <c r="BO3" s="3" t="s">
        <v>56</v>
      </c>
      <c r="BP3" s="3" t="s">
        <v>728</v>
      </c>
      <c r="BQ3" s="3" t="s">
        <v>56</v>
      </c>
      <c r="BR3" s="3" t="s">
        <v>729</v>
      </c>
      <c r="BS3" s="3" t="s">
        <v>56</v>
      </c>
      <c r="BT3" s="3" t="s">
        <v>430</v>
      </c>
      <c r="BU3" s="3" t="s">
        <v>56</v>
      </c>
      <c r="BV3" s="3" t="s">
        <v>338</v>
      </c>
      <c r="BW3" s="3" t="s">
        <v>56</v>
      </c>
      <c r="BX3" s="3" t="s">
        <v>621</v>
      </c>
      <c r="BY3" s="3" t="s">
        <v>56</v>
      </c>
      <c r="BZ3" s="3" t="s">
        <v>730</v>
      </c>
      <c r="CA3" s="3" t="s">
        <v>56</v>
      </c>
      <c r="CB3" s="3" t="s">
        <v>731</v>
      </c>
      <c r="CC3" s="3" t="s">
        <v>56</v>
      </c>
      <c r="CD3" s="3" t="s">
        <v>647</v>
      </c>
      <c r="CE3" s="3" t="s">
        <v>56</v>
      </c>
      <c r="CF3" s="3" t="s">
        <v>614</v>
      </c>
      <c r="CG3" s="3" t="s">
        <v>56</v>
      </c>
      <c r="CH3" s="3" t="s">
        <v>258</v>
      </c>
    </row>
    <row r="4" spans="1:86" x14ac:dyDescent="0.55000000000000004">
      <c r="A4" s="3" t="s">
        <v>422</v>
      </c>
      <c r="B4" s="3" t="s">
        <v>423</v>
      </c>
      <c r="C4" s="3" t="s">
        <v>424</v>
      </c>
      <c r="D4" s="3" t="s">
        <v>55</v>
      </c>
      <c r="E4" s="3" t="s">
        <v>78</v>
      </c>
      <c r="F4" s="3" t="s">
        <v>732</v>
      </c>
      <c r="G4" s="3" t="s">
        <v>53</v>
      </c>
      <c r="H4" s="3" t="s">
        <v>58</v>
      </c>
      <c r="I4" s="3" t="s">
        <v>59</v>
      </c>
      <c r="J4" s="3" t="s">
        <v>60</v>
      </c>
      <c r="K4" s="3" t="s">
        <v>77</v>
      </c>
      <c r="L4" s="3" t="s">
        <v>55</v>
      </c>
      <c r="M4" s="3" t="s">
        <v>424</v>
      </c>
      <c r="N4" s="3" t="s">
        <v>89</v>
      </c>
      <c r="O4" s="3" t="s">
        <v>56</v>
      </c>
      <c r="P4" s="3" t="s">
        <v>248</v>
      </c>
      <c r="Q4" s="3" t="s">
        <v>56</v>
      </c>
      <c r="R4" s="3" t="s">
        <v>249</v>
      </c>
      <c r="S4" s="3" t="s">
        <v>56</v>
      </c>
      <c r="T4" s="3" t="s">
        <v>224</v>
      </c>
      <c r="U4" s="3" t="s">
        <v>56</v>
      </c>
      <c r="V4" s="3" t="s">
        <v>209</v>
      </c>
      <c r="W4" s="3" t="s">
        <v>56</v>
      </c>
      <c r="X4" s="3" t="s">
        <v>232</v>
      </c>
      <c r="Y4" s="3" t="s">
        <v>56</v>
      </c>
      <c r="Z4" s="3" t="s">
        <v>230</v>
      </c>
      <c r="AA4" s="3" t="s">
        <v>56</v>
      </c>
      <c r="AB4" s="3" t="s">
        <v>406</v>
      </c>
      <c r="AC4" s="3" t="s">
        <v>56</v>
      </c>
      <c r="AD4" s="3" t="s">
        <v>295</v>
      </c>
      <c r="AE4" s="3" t="s">
        <v>56</v>
      </c>
      <c r="AF4" s="3" t="s">
        <v>733</v>
      </c>
      <c r="AG4" s="3" t="s">
        <v>56</v>
      </c>
      <c r="AH4" s="3" t="s">
        <v>734</v>
      </c>
      <c r="AI4" s="3" t="s">
        <v>56</v>
      </c>
      <c r="AJ4" s="3" t="s">
        <v>735</v>
      </c>
      <c r="AK4" s="3" t="s">
        <v>56</v>
      </c>
      <c r="AL4" s="3" t="s">
        <v>736</v>
      </c>
      <c r="AM4" s="3" t="s">
        <v>56</v>
      </c>
      <c r="AN4" s="3" t="s">
        <v>655</v>
      </c>
      <c r="AO4" s="3" t="s">
        <v>56</v>
      </c>
      <c r="AP4" s="3" t="s">
        <v>725</v>
      </c>
      <c r="AQ4" s="3" t="s">
        <v>56</v>
      </c>
      <c r="AR4" s="3" t="s">
        <v>737</v>
      </c>
      <c r="AS4" s="3" t="s">
        <v>56</v>
      </c>
      <c r="AT4" s="3" t="s">
        <v>303</v>
      </c>
      <c r="AU4" s="3" t="s">
        <v>56</v>
      </c>
      <c r="AV4" s="3" t="s">
        <v>738</v>
      </c>
      <c r="AW4" s="3" t="s">
        <v>56</v>
      </c>
      <c r="AX4" s="3" t="s">
        <v>288</v>
      </c>
      <c r="AY4" s="3" t="s">
        <v>56</v>
      </c>
      <c r="AZ4" s="3" t="s">
        <v>739</v>
      </c>
      <c r="BA4" s="3" t="s">
        <v>56</v>
      </c>
      <c r="BB4" s="3" t="s">
        <v>270</v>
      </c>
      <c r="BC4" s="3" t="s">
        <v>56</v>
      </c>
      <c r="BD4" s="3" t="s">
        <v>264</v>
      </c>
      <c r="BE4" s="3" t="s">
        <v>56</v>
      </c>
      <c r="BF4" s="3" t="s">
        <v>226</v>
      </c>
      <c r="BG4" s="3" t="s">
        <v>56</v>
      </c>
      <c r="BH4" s="3" t="s">
        <v>270</v>
      </c>
      <c r="BI4" s="3" t="s">
        <v>56</v>
      </c>
      <c r="BJ4" s="3" t="s">
        <v>247</v>
      </c>
      <c r="BK4" s="3" t="s">
        <v>56</v>
      </c>
      <c r="BL4" s="3" t="s">
        <v>314</v>
      </c>
      <c r="BM4" s="3" t="s">
        <v>56</v>
      </c>
      <c r="BN4" s="3" t="s">
        <v>602</v>
      </c>
      <c r="BO4" s="3" t="s">
        <v>56</v>
      </c>
      <c r="BP4" s="3" t="s">
        <v>473</v>
      </c>
      <c r="BQ4" s="3" t="s">
        <v>56</v>
      </c>
      <c r="BR4" s="3" t="s">
        <v>613</v>
      </c>
      <c r="BS4" s="3" t="s">
        <v>56</v>
      </c>
      <c r="BT4" s="3" t="s">
        <v>418</v>
      </c>
      <c r="BU4" s="3" t="s">
        <v>56</v>
      </c>
      <c r="BV4" s="3" t="s">
        <v>400</v>
      </c>
      <c r="BW4" s="3" t="s">
        <v>56</v>
      </c>
      <c r="BX4" s="3" t="s">
        <v>740</v>
      </c>
      <c r="BY4" s="3" t="s">
        <v>56</v>
      </c>
      <c r="BZ4" s="3" t="s">
        <v>682</v>
      </c>
      <c r="CA4" s="3" t="s">
        <v>56</v>
      </c>
      <c r="CB4" s="3" t="s">
        <v>292</v>
      </c>
      <c r="CC4" s="3" t="s">
        <v>56</v>
      </c>
      <c r="CD4" s="3" t="s">
        <v>448</v>
      </c>
      <c r="CE4" s="3" t="s">
        <v>56</v>
      </c>
      <c r="CF4" s="3" t="s">
        <v>741</v>
      </c>
      <c r="CG4" s="3" t="s">
        <v>56</v>
      </c>
      <c r="CH4" s="3" t="s">
        <v>314</v>
      </c>
    </row>
    <row r="5" spans="1:86" x14ac:dyDescent="0.55000000000000004">
      <c r="A5" s="3" t="s">
        <v>428</v>
      </c>
      <c r="B5" s="3" t="s">
        <v>429</v>
      </c>
      <c r="C5" s="3" t="s">
        <v>67</v>
      </c>
      <c r="D5" s="3" t="s">
        <v>55</v>
      </c>
      <c r="E5" s="3" t="s">
        <v>78</v>
      </c>
      <c r="F5" s="3" t="s">
        <v>732</v>
      </c>
      <c r="G5" s="3" t="s">
        <v>53</v>
      </c>
      <c r="H5" s="3" t="s">
        <v>58</v>
      </c>
      <c r="I5" s="3" t="s">
        <v>59</v>
      </c>
      <c r="J5" s="3" t="s">
        <v>60</v>
      </c>
      <c r="K5" s="3" t="s">
        <v>77</v>
      </c>
      <c r="L5" s="3" t="s">
        <v>55</v>
      </c>
      <c r="M5" s="3" t="s">
        <v>67</v>
      </c>
      <c r="N5" s="3" t="s">
        <v>70</v>
      </c>
      <c r="O5" s="3" t="s">
        <v>56</v>
      </c>
      <c r="P5" s="3" t="s">
        <v>248</v>
      </c>
      <c r="Q5" s="3" t="s">
        <v>56</v>
      </c>
      <c r="R5" s="3" t="s">
        <v>249</v>
      </c>
      <c r="S5" s="3" t="s">
        <v>56</v>
      </c>
      <c r="T5" s="3" t="s">
        <v>224</v>
      </c>
      <c r="U5" s="3" t="s">
        <v>56</v>
      </c>
      <c r="V5" s="3" t="s">
        <v>209</v>
      </c>
      <c r="W5" s="3" t="s">
        <v>56</v>
      </c>
      <c r="X5" s="3" t="s">
        <v>375</v>
      </c>
      <c r="Y5" s="3" t="s">
        <v>56</v>
      </c>
      <c r="Z5" s="3" t="s">
        <v>375</v>
      </c>
      <c r="AA5" s="3" t="s">
        <v>56</v>
      </c>
      <c r="AB5" s="3" t="s">
        <v>477</v>
      </c>
      <c r="AC5" s="3" t="s">
        <v>56</v>
      </c>
      <c r="AD5" s="3" t="s">
        <v>294</v>
      </c>
      <c r="AE5" s="3" t="s">
        <v>56</v>
      </c>
      <c r="AF5" s="3" t="s">
        <v>742</v>
      </c>
      <c r="AG5" s="3" t="s">
        <v>56</v>
      </c>
      <c r="AH5" s="3" t="s">
        <v>743</v>
      </c>
      <c r="AI5" s="3" t="s">
        <v>56</v>
      </c>
      <c r="AJ5" s="3" t="s">
        <v>744</v>
      </c>
      <c r="AK5" s="3" t="s">
        <v>56</v>
      </c>
      <c r="AL5" s="3" t="s">
        <v>745</v>
      </c>
      <c r="AM5" s="3" t="s">
        <v>56</v>
      </c>
      <c r="AN5" s="3" t="s">
        <v>746</v>
      </c>
      <c r="AO5" s="3" t="s">
        <v>56</v>
      </c>
      <c r="AP5" s="3" t="s">
        <v>448</v>
      </c>
      <c r="AQ5" s="3" t="s">
        <v>56</v>
      </c>
      <c r="AR5" s="3" t="s">
        <v>747</v>
      </c>
      <c r="AS5" s="3" t="s">
        <v>56</v>
      </c>
      <c r="AT5" s="3" t="s">
        <v>303</v>
      </c>
      <c r="AU5" s="3" t="s">
        <v>56</v>
      </c>
      <c r="AV5" s="3" t="s">
        <v>748</v>
      </c>
      <c r="AW5" s="3" t="s">
        <v>56</v>
      </c>
      <c r="AX5" s="3" t="s">
        <v>653</v>
      </c>
      <c r="AY5" s="3" t="s">
        <v>56</v>
      </c>
      <c r="AZ5" s="3" t="s">
        <v>655</v>
      </c>
      <c r="BA5" s="3" t="s">
        <v>56</v>
      </c>
      <c r="BB5" s="3" t="s">
        <v>253</v>
      </c>
      <c r="BC5" s="3" t="s">
        <v>56</v>
      </c>
      <c r="BD5" s="3" t="s">
        <v>217</v>
      </c>
      <c r="BE5" s="3" t="s">
        <v>56</v>
      </c>
      <c r="BF5" s="3" t="s">
        <v>226</v>
      </c>
      <c r="BG5" s="3" t="s">
        <v>56</v>
      </c>
      <c r="BH5" s="3" t="s">
        <v>345</v>
      </c>
      <c r="BI5" s="3" t="s">
        <v>56</v>
      </c>
      <c r="BJ5" s="3" t="s">
        <v>418</v>
      </c>
      <c r="BK5" s="3" t="s">
        <v>56</v>
      </c>
      <c r="BL5" s="3" t="s">
        <v>246</v>
      </c>
      <c r="BM5" s="3" t="s">
        <v>56</v>
      </c>
      <c r="BN5" s="3" t="s">
        <v>602</v>
      </c>
      <c r="BO5" s="3" t="s">
        <v>56</v>
      </c>
      <c r="BP5" s="3" t="s">
        <v>749</v>
      </c>
      <c r="BQ5" s="3" t="s">
        <v>56</v>
      </c>
      <c r="BR5" s="3" t="s">
        <v>427</v>
      </c>
      <c r="BS5" s="3" t="s">
        <v>56</v>
      </c>
      <c r="BT5" s="3" t="s">
        <v>430</v>
      </c>
      <c r="BU5" s="3" t="s">
        <v>56</v>
      </c>
      <c r="BV5" s="3" t="s">
        <v>615</v>
      </c>
      <c r="BW5" s="3" t="s">
        <v>56</v>
      </c>
      <c r="BX5" s="3" t="s">
        <v>346</v>
      </c>
      <c r="BY5" s="3" t="s">
        <v>56</v>
      </c>
      <c r="BZ5" s="3" t="s">
        <v>322</v>
      </c>
      <c r="CA5" s="3" t="s">
        <v>56</v>
      </c>
      <c r="CB5" s="3" t="s">
        <v>662</v>
      </c>
      <c r="CC5" s="3" t="s">
        <v>56</v>
      </c>
      <c r="CD5" s="3" t="s">
        <v>285</v>
      </c>
      <c r="CE5" s="3" t="s">
        <v>56</v>
      </c>
      <c r="CF5" s="3" t="s">
        <v>614</v>
      </c>
      <c r="CG5" s="3" t="s">
        <v>56</v>
      </c>
      <c r="CH5" s="3" t="s">
        <v>260</v>
      </c>
    </row>
    <row r="6" spans="1:86" x14ac:dyDescent="0.55000000000000004">
      <c r="A6" s="3" t="s">
        <v>432</v>
      </c>
      <c r="B6" s="3" t="s">
        <v>433</v>
      </c>
      <c r="C6" s="3" t="s">
        <v>64</v>
      </c>
      <c r="D6" s="3" t="s">
        <v>55</v>
      </c>
      <c r="E6" s="3" t="s">
        <v>78</v>
      </c>
      <c r="F6" s="3" t="s">
        <v>732</v>
      </c>
      <c r="G6" s="3" t="s">
        <v>53</v>
      </c>
      <c r="H6" s="3" t="s">
        <v>58</v>
      </c>
      <c r="I6" s="3" t="s">
        <v>59</v>
      </c>
      <c r="J6" s="3" t="s">
        <v>60</v>
      </c>
      <c r="K6" s="3" t="s">
        <v>77</v>
      </c>
      <c r="L6" s="3" t="s">
        <v>55</v>
      </c>
      <c r="M6" s="3" t="s">
        <v>64</v>
      </c>
      <c r="N6" s="3" t="s">
        <v>66</v>
      </c>
      <c r="O6" s="3" t="s">
        <v>56</v>
      </c>
      <c r="P6" s="3" t="s">
        <v>248</v>
      </c>
      <c r="Q6" s="3" t="s">
        <v>56</v>
      </c>
      <c r="R6" s="3" t="s">
        <v>750</v>
      </c>
      <c r="S6" s="3" t="s">
        <v>56</v>
      </c>
      <c r="T6" s="3" t="s">
        <v>249</v>
      </c>
      <c r="U6" s="3" t="s">
        <v>56</v>
      </c>
      <c r="V6" s="3" t="s">
        <v>751</v>
      </c>
      <c r="W6" s="3" t="s">
        <v>56</v>
      </c>
      <c r="X6" s="3" t="s">
        <v>633</v>
      </c>
      <c r="Y6" s="3" t="s">
        <v>56</v>
      </c>
      <c r="Z6" s="3" t="s">
        <v>343</v>
      </c>
      <c r="AA6" s="3" t="s">
        <v>56</v>
      </c>
      <c r="AB6" s="3" t="s">
        <v>234</v>
      </c>
      <c r="AC6" s="3" t="s">
        <v>56</v>
      </c>
      <c r="AD6" s="3" t="s">
        <v>343</v>
      </c>
      <c r="AE6" s="3" t="s">
        <v>56</v>
      </c>
      <c r="AF6" s="3" t="s">
        <v>752</v>
      </c>
      <c r="AG6" s="3" t="s">
        <v>56</v>
      </c>
      <c r="AH6" s="3" t="s">
        <v>753</v>
      </c>
      <c r="AI6" s="3" t="s">
        <v>56</v>
      </c>
      <c r="AJ6" s="3" t="s">
        <v>754</v>
      </c>
      <c r="AK6" s="3" t="s">
        <v>56</v>
      </c>
      <c r="AL6" s="3" t="s">
        <v>755</v>
      </c>
      <c r="AM6" s="3" t="s">
        <v>56</v>
      </c>
      <c r="AN6" s="3" t="s">
        <v>756</v>
      </c>
      <c r="AO6" s="3" t="s">
        <v>56</v>
      </c>
      <c r="AP6" s="3" t="s">
        <v>757</v>
      </c>
      <c r="AQ6" s="3" t="s">
        <v>56</v>
      </c>
      <c r="AR6" s="3" t="s">
        <v>316</v>
      </c>
      <c r="AS6" s="3" t="s">
        <v>56</v>
      </c>
      <c r="AT6" s="3" t="s">
        <v>431</v>
      </c>
      <c r="AU6" s="3" t="s">
        <v>56</v>
      </c>
      <c r="AV6" s="3" t="s">
        <v>758</v>
      </c>
      <c r="AW6" s="3" t="s">
        <v>56</v>
      </c>
      <c r="AX6" s="3" t="s">
        <v>244</v>
      </c>
      <c r="AY6" s="3"/>
      <c r="AZ6" s="3"/>
      <c r="BA6" s="3" t="s">
        <v>56</v>
      </c>
      <c r="BB6" s="3" t="s">
        <v>245</v>
      </c>
      <c r="BC6" s="3" t="s">
        <v>56</v>
      </c>
      <c r="BD6" s="3" t="s">
        <v>252</v>
      </c>
      <c r="BE6" s="3" t="s">
        <v>56</v>
      </c>
      <c r="BF6" s="3" t="s">
        <v>270</v>
      </c>
      <c r="BG6" s="3" t="s">
        <v>56</v>
      </c>
      <c r="BH6" s="3" t="s">
        <v>270</v>
      </c>
      <c r="BI6" s="3" t="s">
        <v>56</v>
      </c>
      <c r="BJ6" s="3" t="s">
        <v>358</v>
      </c>
      <c r="BK6" s="3" t="s">
        <v>56</v>
      </c>
      <c r="BL6" s="3" t="s">
        <v>408</v>
      </c>
      <c r="BM6" s="3" t="s">
        <v>56</v>
      </c>
      <c r="BN6" s="3" t="s">
        <v>256</v>
      </c>
      <c r="BO6" s="3" t="s">
        <v>56</v>
      </c>
      <c r="BP6" s="3" t="s">
        <v>759</v>
      </c>
      <c r="BQ6" s="3" t="s">
        <v>56</v>
      </c>
      <c r="BR6" s="3" t="s">
        <v>760</v>
      </c>
      <c r="BS6" s="3" t="s">
        <v>56</v>
      </c>
      <c r="BT6" s="3" t="s">
        <v>275</v>
      </c>
      <c r="BU6" s="3" t="s">
        <v>56</v>
      </c>
      <c r="BV6" s="3" t="s">
        <v>438</v>
      </c>
      <c r="BW6" s="3" t="s">
        <v>56</v>
      </c>
      <c r="BX6" s="3" t="s">
        <v>731</v>
      </c>
      <c r="BY6" s="3" t="s">
        <v>56</v>
      </c>
      <c r="BZ6" s="3" t="s">
        <v>761</v>
      </c>
      <c r="CA6" s="3" t="s">
        <v>56</v>
      </c>
      <c r="CB6" s="3" t="s">
        <v>762</v>
      </c>
      <c r="CC6" s="3" t="s">
        <v>56</v>
      </c>
      <c r="CD6" s="3" t="s">
        <v>763</v>
      </c>
      <c r="CE6" s="3" t="s">
        <v>56</v>
      </c>
      <c r="CF6" s="3" t="s">
        <v>633</v>
      </c>
      <c r="CG6" s="3" t="s">
        <v>56</v>
      </c>
      <c r="CH6" s="3" t="s">
        <v>764</v>
      </c>
    </row>
    <row r="7" spans="1:86" x14ac:dyDescent="0.55000000000000004">
      <c r="A7" s="3" t="s">
        <v>335</v>
      </c>
      <c r="B7" s="3" t="s">
        <v>336</v>
      </c>
      <c r="C7" s="3" t="s">
        <v>54</v>
      </c>
      <c r="D7" s="3" t="s">
        <v>55</v>
      </c>
      <c r="E7" s="3" t="s">
        <v>57</v>
      </c>
      <c r="F7" s="3" t="s">
        <v>720</v>
      </c>
      <c r="G7" s="3" t="s">
        <v>53</v>
      </c>
      <c r="H7" s="3" t="s">
        <v>58</v>
      </c>
      <c r="I7" s="3" t="s">
        <v>59</v>
      </c>
      <c r="J7" s="3" t="s">
        <v>63</v>
      </c>
      <c r="K7" s="3" t="s">
        <v>61</v>
      </c>
      <c r="L7" s="3" t="s">
        <v>55</v>
      </c>
      <c r="M7" s="3" t="s">
        <v>54</v>
      </c>
      <c r="N7" s="3" t="s">
        <v>62</v>
      </c>
      <c r="O7" s="3" t="s">
        <v>56</v>
      </c>
      <c r="P7" s="3" t="s">
        <v>224</v>
      </c>
      <c r="Q7" s="3" t="s">
        <v>56</v>
      </c>
      <c r="R7" s="3" t="s">
        <v>209</v>
      </c>
      <c r="S7" s="3" t="s">
        <v>56</v>
      </c>
      <c r="T7" s="3" t="s">
        <v>210</v>
      </c>
      <c r="U7" s="3" t="s">
        <v>56</v>
      </c>
      <c r="V7" s="3" t="s">
        <v>211</v>
      </c>
      <c r="W7" s="3" t="s">
        <v>56</v>
      </c>
      <c r="X7" s="3" t="s">
        <v>308</v>
      </c>
      <c r="Y7" s="3" t="s">
        <v>56</v>
      </c>
      <c r="Z7" s="3" t="s">
        <v>232</v>
      </c>
      <c r="AA7" s="3" t="s">
        <v>56</v>
      </c>
      <c r="AB7" s="3" t="s">
        <v>259</v>
      </c>
      <c r="AC7" s="3" t="s">
        <v>56</v>
      </c>
      <c r="AD7" s="3" t="s">
        <v>263</v>
      </c>
      <c r="AE7" s="3" t="s">
        <v>56</v>
      </c>
      <c r="AF7" s="3" t="s">
        <v>765</v>
      </c>
      <c r="AG7" s="3" t="s">
        <v>56</v>
      </c>
      <c r="AH7" s="3" t="s">
        <v>766</v>
      </c>
      <c r="AI7" s="3" t="s">
        <v>56</v>
      </c>
      <c r="AJ7" s="3" t="s">
        <v>767</v>
      </c>
      <c r="AK7" s="3" t="s">
        <v>56</v>
      </c>
      <c r="AL7" s="3" t="s">
        <v>768</v>
      </c>
      <c r="AM7" s="3" t="s">
        <v>56</v>
      </c>
      <c r="AN7" s="3" t="s">
        <v>713</v>
      </c>
      <c r="AO7" s="3" t="s">
        <v>56</v>
      </c>
      <c r="AP7" s="3" t="s">
        <v>769</v>
      </c>
      <c r="AQ7" s="3" t="s">
        <v>56</v>
      </c>
      <c r="AR7" s="3" t="s">
        <v>603</v>
      </c>
      <c r="AS7" s="3" t="s">
        <v>56</v>
      </c>
      <c r="AT7" s="3" t="s">
        <v>225</v>
      </c>
      <c r="AU7" s="3" t="s">
        <v>56</v>
      </c>
      <c r="AV7" s="3" t="s">
        <v>671</v>
      </c>
      <c r="AW7" s="3" t="s">
        <v>56</v>
      </c>
      <c r="AX7" s="3" t="s">
        <v>236</v>
      </c>
      <c r="AY7" s="3" t="s">
        <v>56</v>
      </c>
      <c r="AZ7" s="3" t="s">
        <v>770</v>
      </c>
      <c r="BA7" s="3" t="s">
        <v>56</v>
      </c>
      <c r="BB7" s="3" t="s">
        <v>245</v>
      </c>
      <c r="BC7" s="3" t="s">
        <v>56</v>
      </c>
      <c r="BD7" s="3" t="s">
        <v>237</v>
      </c>
      <c r="BE7" s="3" t="s">
        <v>56</v>
      </c>
      <c r="BF7" s="3" t="s">
        <v>218</v>
      </c>
      <c r="BG7" s="3" t="s">
        <v>56</v>
      </c>
      <c r="BH7" s="3" t="s">
        <v>237</v>
      </c>
      <c r="BI7" s="3" t="s">
        <v>56</v>
      </c>
      <c r="BJ7" s="3" t="s">
        <v>369</v>
      </c>
      <c r="BK7" s="3" t="s">
        <v>56</v>
      </c>
      <c r="BL7" s="3" t="s">
        <v>370</v>
      </c>
      <c r="BM7" s="3" t="s">
        <v>56</v>
      </c>
      <c r="BN7" s="3" t="s">
        <v>238</v>
      </c>
      <c r="BO7" s="3" t="s">
        <v>56</v>
      </c>
      <c r="BP7" s="3" t="s">
        <v>771</v>
      </c>
      <c r="BQ7" s="3" t="s">
        <v>56</v>
      </c>
      <c r="BR7" s="3" t="s">
        <v>772</v>
      </c>
      <c r="BS7" s="3" t="s">
        <v>56</v>
      </c>
      <c r="BT7" s="3" t="s">
        <v>239</v>
      </c>
      <c r="BU7" s="3" t="s">
        <v>56</v>
      </c>
      <c r="BV7" s="3" t="s">
        <v>613</v>
      </c>
      <c r="BW7" s="3" t="s">
        <v>56</v>
      </c>
      <c r="BX7" s="3" t="s">
        <v>773</v>
      </c>
      <c r="BY7" s="3" t="s">
        <v>56</v>
      </c>
      <c r="BZ7" s="3" t="s">
        <v>774</v>
      </c>
      <c r="CA7" s="3" t="s">
        <v>56</v>
      </c>
      <c r="CB7" s="3" t="s">
        <v>740</v>
      </c>
      <c r="CC7" s="3" t="s">
        <v>56</v>
      </c>
      <c r="CD7" s="3" t="s">
        <v>484</v>
      </c>
      <c r="CE7" s="3" t="s">
        <v>56</v>
      </c>
      <c r="CF7" s="3" t="s">
        <v>263</v>
      </c>
      <c r="CG7" s="3" t="s">
        <v>56</v>
      </c>
      <c r="CH7" s="3" t="s">
        <v>246</v>
      </c>
    </row>
    <row r="8" spans="1:86" x14ac:dyDescent="0.55000000000000004">
      <c r="A8" s="3" t="s">
        <v>775</v>
      </c>
      <c r="B8" s="3" t="s">
        <v>776</v>
      </c>
      <c r="C8" s="3" t="s">
        <v>71</v>
      </c>
      <c r="D8" s="3" t="s">
        <v>68</v>
      </c>
      <c r="E8" s="3" t="s">
        <v>94</v>
      </c>
      <c r="F8" s="3" t="s">
        <v>777</v>
      </c>
      <c r="G8" s="3" t="s">
        <v>53</v>
      </c>
      <c r="H8" s="3" t="s">
        <v>58</v>
      </c>
      <c r="I8" s="3" t="s">
        <v>59</v>
      </c>
      <c r="J8" s="3" t="s">
        <v>63</v>
      </c>
      <c r="K8" s="3" t="s">
        <v>61</v>
      </c>
      <c r="L8" s="3" t="s">
        <v>68</v>
      </c>
      <c r="M8" s="3" t="s">
        <v>71</v>
      </c>
      <c r="N8" s="3" t="s">
        <v>75</v>
      </c>
      <c r="O8" s="3" t="s">
        <v>56</v>
      </c>
      <c r="P8" s="3" t="s">
        <v>249</v>
      </c>
      <c r="Q8" s="3" t="s">
        <v>56</v>
      </c>
      <c r="R8" s="3" t="s">
        <v>224</v>
      </c>
      <c r="S8" s="3" t="s">
        <v>56</v>
      </c>
      <c r="T8" s="3" t="s">
        <v>209</v>
      </c>
      <c r="U8" s="3" t="s">
        <v>56</v>
      </c>
      <c r="V8" s="3" t="s">
        <v>210</v>
      </c>
      <c r="W8" s="3" t="s">
        <v>56</v>
      </c>
      <c r="X8" s="3" t="s">
        <v>485</v>
      </c>
      <c r="Y8" s="3" t="s">
        <v>56</v>
      </c>
      <c r="Z8" s="3" t="s">
        <v>230</v>
      </c>
      <c r="AA8" s="3" t="s">
        <v>56</v>
      </c>
      <c r="AB8" s="3" t="s">
        <v>280</v>
      </c>
      <c r="AC8" s="3" t="s">
        <v>56</v>
      </c>
      <c r="AD8" s="3" t="s">
        <v>259</v>
      </c>
      <c r="AE8" s="3" t="s">
        <v>56</v>
      </c>
      <c r="AF8" s="3" t="s">
        <v>778</v>
      </c>
      <c r="AG8" s="3" t="s">
        <v>56</v>
      </c>
      <c r="AH8" s="3" t="s">
        <v>779</v>
      </c>
      <c r="AI8" s="3" t="s">
        <v>56</v>
      </c>
      <c r="AJ8" s="3" t="s">
        <v>780</v>
      </c>
      <c r="AK8" s="3" t="s">
        <v>56</v>
      </c>
      <c r="AL8" s="3" t="s">
        <v>781</v>
      </c>
      <c r="AM8" s="3" t="s">
        <v>56</v>
      </c>
      <c r="AN8" s="3" t="s">
        <v>782</v>
      </c>
      <c r="AO8" s="3" t="s">
        <v>56</v>
      </c>
      <c r="AP8" s="3" t="s">
        <v>225</v>
      </c>
      <c r="AQ8" s="3" t="s">
        <v>56</v>
      </c>
      <c r="AR8" s="3" t="s">
        <v>437</v>
      </c>
      <c r="AS8" s="3" t="s">
        <v>56</v>
      </c>
      <c r="AT8" s="3" t="s">
        <v>339</v>
      </c>
      <c r="AU8" s="3" t="s">
        <v>56</v>
      </c>
      <c r="AV8" s="3" t="s">
        <v>696</v>
      </c>
      <c r="AW8" s="3" t="s">
        <v>56</v>
      </c>
      <c r="AX8" s="3" t="s">
        <v>236</v>
      </c>
      <c r="AY8" s="3" t="s">
        <v>56</v>
      </c>
      <c r="AZ8" s="3" t="s">
        <v>783</v>
      </c>
      <c r="BA8" s="3" t="s">
        <v>56</v>
      </c>
      <c r="BB8" s="3" t="s">
        <v>245</v>
      </c>
      <c r="BC8" s="3" t="s">
        <v>56</v>
      </c>
      <c r="BD8" s="3" t="s">
        <v>237</v>
      </c>
      <c r="BE8" s="3" t="s">
        <v>56</v>
      </c>
      <c r="BF8" s="3" t="s">
        <v>245</v>
      </c>
      <c r="BG8" s="3" t="s">
        <v>56</v>
      </c>
      <c r="BH8" s="3" t="s">
        <v>264</v>
      </c>
      <c r="BI8" s="3" t="s">
        <v>56</v>
      </c>
      <c r="BJ8" s="3" t="s">
        <v>340</v>
      </c>
      <c r="BK8" s="3" t="s">
        <v>56</v>
      </c>
      <c r="BL8" s="3" t="s">
        <v>341</v>
      </c>
      <c r="BM8" s="3" t="s">
        <v>56</v>
      </c>
      <c r="BN8" s="3" t="s">
        <v>241</v>
      </c>
      <c r="BO8" s="3" t="s">
        <v>56</v>
      </c>
      <c r="BP8" s="3" t="s">
        <v>784</v>
      </c>
      <c r="BQ8" s="3" t="s">
        <v>56</v>
      </c>
      <c r="BR8" s="3" t="s">
        <v>321</v>
      </c>
      <c r="BS8" s="3" t="s">
        <v>56</v>
      </c>
      <c r="BT8" s="3" t="s">
        <v>418</v>
      </c>
      <c r="BU8" s="3" t="s">
        <v>56</v>
      </c>
      <c r="BV8" s="3" t="s">
        <v>342</v>
      </c>
      <c r="BW8" s="3" t="s">
        <v>56</v>
      </c>
      <c r="BX8" s="3" t="s">
        <v>315</v>
      </c>
      <c r="BY8" s="3" t="s">
        <v>56</v>
      </c>
      <c r="BZ8" s="3" t="s">
        <v>785</v>
      </c>
      <c r="CA8" s="3" t="s">
        <v>56</v>
      </c>
      <c r="CB8" s="3" t="s">
        <v>278</v>
      </c>
      <c r="CC8" s="3" t="s">
        <v>56</v>
      </c>
      <c r="CD8" s="3" t="s">
        <v>670</v>
      </c>
      <c r="CE8" s="3" t="s">
        <v>56</v>
      </c>
      <c r="CF8" s="3" t="s">
        <v>786</v>
      </c>
      <c r="CG8" s="3" t="s">
        <v>56</v>
      </c>
      <c r="CH8" s="3" t="s">
        <v>297</v>
      </c>
    </row>
    <row r="9" spans="1:86" x14ac:dyDescent="0.55000000000000004">
      <c r="A9" s="3" t="s">
        <v>787</v>
      </c>
      <c r="B9" s="3" t="s">
        <v>788</v>
      </c>
      <c r="C9" s="3" t="s">
        <v>64</v>
      </c>
      <c r="D9" s="3" t="s">
        <v>55</v>
      </c>
      <c r="E9" s="3" t="s">
        <v>65</v>
      </c>
      <c r="F9" s="3" t="s">
        <v>732</v>
      </c>
      <c r="G9" s="3" t="s">
        <v>53</v>
      </c>
      <c r="H9" s="3" t="s">
        <v>58</v>
      </c>
      <c r="I9" s="3" t="s">
        <v>59</v>
      </c>
      <c r="J9" s="3" t="s">
        <v>81</v>
      </c>
      <c r="K9" s="3" t="s">
        <v>82</v>
      </c>
      <c r="L9" s="3" t="s">
        <v>55</v>
      </c>
      <c r="M9" s="3" t="s">
        <v>64</v>
      </c>
      <c r="N9" s="3" t="s">
        <v>66</v>
      </c>
      <c r="O9" s="3" t="s">
        <v>56</v>
      </c>
      <c r="P9" s="3" t="s">
        <v>224</v>
      </c>
      <c r="Q9" s="3" t="s">
        <v>56</v>
      </c>
      <c r="R9" s="3" t="s">
        <v>209</v>
      </c>
      <c r="S9" s="3" t="s">
        <v>56</v>
      </c>
      <c r="T9" s="3" t="s">
        <v>210</v>
      </c>
      <c r="U9" s="3" t="s">
        <v>56</v>
      </c>
      <c r="V9" s="3" t="s">
        <v>211</v>
      </c>
      <c r="W9" s="3" t="s">
        <v>56</v>
      </c>
      <c r="X9" s="3" t="s">
        <v>439</v>
      </c>
      <c r="Y9" s="3" t="s">
        <v>56</v>
      </c>
      <c r="Z9" s="3" t="s">
        <v>394</v>
      </c>
      <c r="AA9" s="3" t="s">
        <v>56</v>
      </c>
      <c r="AB9" s="3" t="s">
        <v>277</v>
      </c>
      <c r="AC9" s="3" t="s">
        <v>56</v>
      </c>
      <c r="AD9" s="3" t="s">
        <v>263</v>
      </c>
      <c r="AE9" s="3" t="s">
        <v>56</v>
      </c>
      <c r="AF9" s="3" t="s">
        <v>789</v>
      </c>
      <c r="AG9" s="3" t="s">
        <v>56</v>
      </c>
      <c r="AH9" s="3" t="s">
        <v>790</v>
      </c>
      <c r="AI9" s="3" t="s">
        <v>56</v>
      </c>
      <c r="AJ9" s="3" t="s">
        <v>791</v>
      </c>
      <c r="AK9" s="3" t="s">
        <v>56</v>
      </c>
      <c r="AL9" s="3" t="s">
        <v>792</v>
      </c>
      <c r="AM9" s="3" t="s">
        <v>56</v>
      </c>
      <c r="AN9" s="3" t="s">
        <v>622</v>
      </c>
      <c r="AO9" s="3" t="s">
        <v>56</v>
      </c>
      <c r="AP9" s="3" t="s">
        <v>330</v>
      </c>
      <c r="AQ9" s="3" t="s">
        <v>56</v>
      </c>
      <c r="AR9" s="3" t="s">
        <v>673</v>
      </c>
      <c r="AS9" s="3" t="s">
        <v>56</v>
      </c>
      <c r="AT9" s="3" t="s">
        <v>339</v>
      </c>
      <c r="AU9" s="3" t="s">
        <v>56</v>
      </c>
      <c r="AV9" s="3" t="s">
        <v>468</v>
      </c>
      <c r="AW9" s="3" t="s">
        <v>56</v>
      </c>
      <c r="AX9" s="3" t="s">
        <v>793</v>
      </c>
      <c r="AY9" s="3" t="s">
        <v>56</v>
      </c>
      <c r="AZ9" s="3" t="s">
        <v>794</v>
      </c>
      <c r="BA9" s="3" t="s">
        <v>56</v>
      </c>
      <c r="BB9" s="3" t="s">
        <v>252</v>
      </c>
      <c r="BC9" s="3" t="s">
        <v>56</v>
      </c>
      <c r="BD9" s="3" t="s">
        <v>252</v>
      </c>
      <c r="BE9" s="3" t="s">
        <v>56</v>
      </c>
      <c r="BF9" s="3" t="s">
        <v>217</v>
      </c>
      <c r="BG9" s="3" t="s">
        <v>56</v>
      </c>
      <c r="BH9" s="3" t="s">
        <v>237</v>
      </c>
      <c r="BI9" s="3" t="s">
        <v>56</v>
      </c>
      <c r="BJ9" s="3" t="s">
        <v>710</v>
      </c>
      <c r="BK9" s="3" t="s">
        <v>56</v>
      </c>
      <c r="BL9" s="3" t="s">
        <v>281</v>
      </c>
      <c r="BM9" s="3" t="s">
        <v>56</v>
      </c>
      <c r="BN9" s="3" t="s">
        <v>246</v>
      </c>
      <c r="BO9" s="3" t="s">
        <v>56</v>
      </c>
      <c r="BP9" s="3" t="s">
        <v>795</v>
      </c>
      <c r="BQ9" s="3" t="s">
        <v>56</v>
      </c>
      <c r="BR9" s="3" t="s">
        <v>796</v>
      </c>
      <c r="BS9" s="3" t="s">
        <v>56</v>
      </c>
      <c r="BT9" s="3" t="s">
        <v>247</v>
      </c>
      <c r="BU9" s="3" t="s">
        <v>56</v>
      </c>
      <c r="BV9" s="3" t="s">
        <v>797</v>
      </c>
      <c r="BW9" s="3" t="s">
        <v>56</v>
      </c>
      <c r="BX9" s="3" t="s">
        <v>798</v>
      </c>
      <c r="BY9" s="3" t="s">
        <v>56</v>
      </c>
      <c r="BZ9" s="3" t="s">
        <v>318</v>
      </c>
      <c r="CA9" s="3" t="s">
        <v>56</v>
      </c>
      <c r="CB9" s="3" t="s">
        <v>799</v>
      </c>
      <c r="CC9" s="3" t="s">
        <v>56</v>
      </c>
      <c r="CD9" s="3" t="s">
        <v>800</v>
      </c>
      <c r="CE9" s="3" t="s">
        <v>56</v>
      </c>
      <c r="CF9" s="3" t="s">
        <v>287</v>
      </c>
      <c r="CG9" s="3" t="s">
        <v>56</v>
      </c>
      <c r="CH9" s="3" t="s">
        <v>284</v>
      </c>
    </row>
    <row r="10" spans="1:86" x14ac:dyDescent="0.55000000000000004">
      <c r="A10" s="3" t="s">
        <v>445</v>
      </c>
      <c r="B10" s="3" t="s">
        <v>446</v>
      </c>
      <c r="C10" s="3" t="s">
        <v>71</v>
      </c>
      <c r="D10" s="3" t="s">
        <v>68</v>
      </c>
      <c r="E10" s="3" t="s">
        <v>65</v>
      </c>
      <c r="F10" s="3" t="s">
        <v>732</v>
      </c>
      <c r="G10" s="3" t="s">
        <v>53</v>
      </c>
      <c r="H10" s="3" t="s">
        <v>58</v>
      </c>
      <c r="I10" s="3" t="s">
        <v>59</v>
      </c>
      <c r="J10" s="3" t="s">
        <v>63</v>
      </c>
      <c r="K10" s="3" t="s">
        <v>61</v>
      </c>
      <c r="L10" s="3" t="s">
        <v>68</v>
      </c>
      <c r="M10" s="3" t="s">
        <v>71</v>
      </c>
      <c r="N10" s="3" t="s">
        <v>75</v>
      </c>
      <c r="O10" s="3" t="s">
        <v>56</v>
      </c>
      <c r="P10" s="3" t="s">
        <v>249</v>
      </c>
      <c r="Q10" s="3" t="s">
        <v>56</v>
      </c>
      <c r="R10" s="3" t="s">
        <v>224</v>
      </c>
      <c r="S10" s="3" t="s">
        <v>56</v>
      </c>
      <c r="T10" s="3" t="s">
        <v>209</v>
      </c>
      <c r="U10" s="3" t="s">
        <v>56</v>
      </c>
      <c r="V10" s="3" t="s">
        <v>210</v>
      </c>
      <c r="W10" s="3" t="s">
        <v>56</v>
      </c>
      <c r="X10" s="3" t="s">
        <v>458</v>
      </c>
      <c r="Y10" s="3" t="s">
        <v>56</v>
      </c>
      <c r="Z10" s="3" t="s">
        <v>232</v>
      </c>
      <c r="AA10" s="3" t="s">
        <v>56</v>
      </c>
      <c r="AB10" s="3" t="s">
        <v>230</v>
      </c>
      <c r="AC10" s="3" t="s">
        <v>56</v>
      </c>
      <c r="AD10" s="3" t="s">
        <v>376</v>
      </c>
      <c r="AE10" s="3" t="s">
        <v>56</v>
      </c>
      <c r="AF10" s="3" t="s">
        <v>801</v>
      </c>
      <c r="AG10" s="3" t="s">
        <v>56</v>
      </c>
      <c r="AH10" s="3" t="s">
        <v>802</v>
      </c>
      <c r="AI10" s="3" t="s">
        <v>56</v>
      </c>
      <c r="AJ10" s="3" t="s">
        <v>803</v>
      </c>
      <c r="AK10" s="3" t="s">
        <v>56</v>
      </c>
      <c r="AL10" s="3" t="s">
        <v>804</v>
      </c>
      <c r="AM10" s="3" t="s">
        <v>56</v>
      </c>
      <c r="AN10" s="3" t="s">
        <v>805</v>
      </c>
      <c r="AO10" s="3" t="s">
        <v>56</v>
      </c>
      <c r="AP10" s="3" t="s">
        <v>215</v>
      </c>
      <c r="AQ10" s="3" t="s">
        <v>56</v>
      </c>
      <c r="AR10" s="3" t="s">
        <v>400</v>
      </c>
      <c r="AS10" s="3" t="s">
        <v>56</v>
      </c>
      <c r="AT10" s="3" t="s">
        <v>225</v>
      </c>
      <c r="AU10" s="3" t="s">
        <v>56</v>
      </c>
      <c r="AV10" s="3" t="s">
        <v>700</v>
      </c>
      <c r="AW10" s="3" t="s">
        <v>56</v>
      </c>
      <c r="AX10" s="3" t="s">
        <v>459</v>
      </c>
      <c r="AY10" s="3" t="s">
        <v>56</v>
      </c>
      <c r="AZ10" s="3" t="s">
        <v>806</v>
      </c>
      <c r="BA10" s="3" t="s">
        <v>56</v>
      </c>
      <c r="BB10" s="3" t="s">
        <v>226</v>
      </c>
      <c r="BC10" s="3" t="s">
        <v>56</v>
      </c>
      <c r="BD10" s="3" t="s">
        <v>264</v>
      </c>
      <c r="BE10" s="3" t="s">
        <v>56</v>
      </c>
      <c r="BF10" s="3" t="s">
        <v>252</v>
      </c>
      <c r="BG10" s="3" t="s">
        <v>56</v>
      </c>
      <c r="BH10" s="3" t="s">
        <v>264</v>
      </c>
      <c r="BI10" s="3" t="s">
        <v>56</v>
      </c>
      <c r="BJ10" s="3" t="s">
        <v>219</v>
      </c>
      <c r="BK10" s="3" t="s">
        <v>56</v>
      </c>
      <c r="BL10" s="3" t="s">
        <v>220</v>
      </c>
      <c r="BM10" s="3" t="s">
        <v>56</v>
      </c>
      <c r="BN10" s="3" t="s">
        <v>602</v>
      </c>
      <c r="BO10" s="3" t="s">
        <v>56</v>
      </c>
      <c r="BP10" s="3" t="s">
        <v>807</v>
      </c>
      <c r="BQ10" s="3" t="s">
        <v>56</v>
      </c>
      <c r="BR10" s="3" t="s">
        <v>808</v>
      </c>
      <c r="BS10" s="3" t="s">
        <v>56</v>
      </c>
      <c r="BT10" s="3" t="s">
        <v>271</v>
      </c>
      <c r="BU10" s="3" t="s">
        <v>56</v>
      </c>
      <c r="BV10" s="3" t="s">
        <v>601</v>
      </c>
      <c r="BW10" s="3" t="s">
        <v>56</v>
      </c>
      <c r="BX10" s="3" t="s">
        <v>809</v>
      </c>
      <c r="BY10" s="3" t="s">
        <v>56</v>
      </c>
      <c r="BZ10" s="3" t="s">
        <v>606</v>
      </c>
      <c r="CA10" s="3" t="s">
        <v>56</v>
      </c>
      <c r="CB10" s="3" t="s">
        <v>427</v>
      </c>
      <c r="CC10" s="3" t="s">
        <v>56</v>
      </c>
      <c r="CD10" s="3" t="s">
        <v>410</v>
      </c>
      <c r="CE10" s="3" t="s">
        <v>56</v>
      </c>
      <c r="CF10" s="3" t="s">
        <v>592</v>
      </c>
      <c r="CG10" s="3" t="s">
        <v>56</v>
      </c>
      <c r="CH10" s="3" t="s">
        <v>223</v>
      </c>
    </row>
    <row r="11" spans="1:86" x14ac:dyDescent="0.55000000000000004">
      <c r="A11" s="3" t="s">
        <v>449</v>
      </c>
      <c r="B11" s="3" t="s">
        <v>450</v>
      </c>
      <c r="C11" s="3" t="s">
        <v>54</v>
      </c>
      <c r="D11" s="3" t="s">
        <v>68</v>
      </c>
      <c r="E11" s="3" t="s">
        <v>451</v>
      </c>
      <c r="F11" s="3" t="s">
        <v>732</v>
      </c>
      <c r="G11" s="3" t="s">
        <v>53</v>
      </c>
      <c r="H11" s="3" t="s">
        <v>58</v>
      </c>
      <c r="I11" s="3" t="s">
        <v>59</v>
      </c>
      <c r="J11" s="3" t="s">
        <v>63</v>
      </c>
      <c r="K11" s="3" t="s">
        <v>61</v>
      </c>
      <c r="L11" s="3" t="s">
        <v>68</v>
      </c>
      <c r="M11" s="3" t="s">
        <v>54</v>
      </c>
      <c r="N11" s="3" t="s">
        <v>62</v>
      </c>
      <c r="O11" s="3" t="s">
        <v>56</v>
      </c>
      <c r="P11" s="3" t="s">
        <v>224</v>
      </c>
      <c r="Q11" s="3" t="s">
        <v>56</v>
      </c>
      <c r="R11" s="3" t="s">
        <v>209</v>
      </c>
      <c r="S11" s="3" t="s">
        <v>56</v>
      </c>
      <c r="T11" s="3" t="s">
        <v>210</v>
      </c>
      <c r="U11" s="3" t="s">
        <v>56</v>
      </c>
      <c r="V11" s="3" t="s">
        <v>211</v>
      </c>
      <c r="W11" s="3" t="s">
        <v>56</v>
      </c>
      <c r="X11" s="3" t="s">
        <v>232</v>
      </c>
      <c r="Y11" s="3" t="s">
        <v>56</v>
      </c>
      <c r="Z11" s="3" t="s">
        <v>294</v>
      </c>
      <c r="AA11" s="3" t="s">
        <v>56</v>
      </c>
      <c r="AB11" s="3" t="s">
        <v>388</v>
      </c>
      <c r="AC11" s="3" t="s">
        <v>56</v>
      </c>
      <c r="AD11" s="3" t="s">
        <v>268</v>
      </c>
      <c r="AE11" s="3" t="s">
        <v>56</v>
      </c>
      <c r="AF11" s="3" t="s">
        <v>810</v>
      </c>
      <c r="AG11" s="3" t="s">
        <v>56</v>
      </c>
      <c r="AH11" s="3" t="s">
        <v>811</v>
      </c>
      <c r="AI11" s="3" t="s">
        <v>56</v>
      </c>
      <c r="AJ11" s="3" t="s">
        <v>812</v>
      </c>
      <c r="AK11" s="3" t="s">
        <v>56</v>
      </c>
      <c r="AL11" s="3" t="s">
        <v>813</v>
      </c>
      <c r="AM11" s="3" t="s">
        <v>56</v>
      </c>
      <c r="AN11" s="3" t="s">
        <v>814</v>
      </c>
      <c r="AO11" s="3" t="s">
        <v>56</v>
      </c>
      <c r="AP11" s="3" t="s">
        <v>285</v>
      </c>
      <c r="AQ11" s="3" t="s">
        <v>56</v>
      </c>
      <c r="AR11" s="3" t="s">
        <v>378</v>
      </c>
      <c r="AS11" s="3" t="s">
        <v>56</v>
      </c>
      <c r="AT11" s="3" t="s">
        <v>417</v>
      </c>
      <c r="AU11" s="3" t="s">
        <v>56</v>
      </c>
      <c r="AV11" s="3" t="s">
        <v>815</v>
      </c>
      <c r="AW11" s="3" t="s">
        <v>56</v>
      </c>
      <c r="AX11" s="3" t="s">
        <v>216</v>
      </c>
      <c r="AY11" s="3" t="s">
        <v>56</v>
      </c>
      <c r="AZ11" s="3" t="s">
        <v>816</v>
      </c>
      <c r="BA11" s="3" t="s">
        <v>56</v>
      </c>
      <c r="BB11" s="3" t="s">
        <v>817</v>
      </c>
      <c r="BC11" s="3" t="s">
        <v>56</v>
      </c>
      <c r="BD11" s="3" t="s">
        <v>218</v>
      </c>
      <c r="BE11" s="3" t="s">
        <v>56</v>
      </c>
      <c r="BF11" s="3" t="s">
        <v>252</v>
      </c>
      <c r="BG11" s="3" t="s">
        <v>56</v>
      </c>
      <c r="BH11" s="3" t="s">
        <v>237</v>
      </c>
      <c r="BI11" s="3" t="s">
        <v>56</v>
      </c>
      <c r="BJ11" s="3" t="s">
        <v>818</v>
      </c>
      <c r="BK11" s="3" t="s">
        <v>56</v>
      </c>
      <c r="BL11" s="3" t="s">
        <v>819</v>
      </c>
      <c r="BM11" s="3" t="s">
        <v>56</v>
      </c>
      <c r="BN11" s="3" t="s">
        <v>272</v>
      </c>
      <c r="BO11" s="3" t="s">
        <v>56</v>
      </c>
      <c r="BP11" s="3" t="s">
        <v>820</v>
      </c>
      <c r="BQ11" s="3" t="s">
        <v>56</v>
      </c>
      <c r="BR11" s="3" t="s">
        <v>821</v>
      </c>
      <c r="BS11" s="3" t="s">
        <v>56</v>
      </c>
      <c r="BT11" s="3" t="s">
        <v>371</v>
      </c>
      <c r="BU11" s="3" t="s">
        <v>56</v>
      </c>
      <c r="BV11" s="3" t="s">
        <v>391</v>
      </c>
      <c r="BW11" s="3" t="s">
        <v>56</v>
      </c>
      <c r="BX11" s="3" t="s">
        <v>628</v>
      </c>
      <c r="BY11" s="3" t="s">
        <v>56</v>
      </c>
      <c r="BZ11" s="3" t="s">
        <v>822</v>
      </c>
      <c r="CA11" s="3" t="s">
        <v>56</v>
      </c>
      <c r="CB11" s="3" t="s">
        <v>588</v>
      </c>
      <c r="CC11" s="3" t="s">
        <v>56</v>
      </c>
      <c r="CD11" s="3" t="s">
        <v>466</v>
      </c>
      <c r="CE11" s="3" t="s">
        <v>56</v>
      </c>
      <c r="CF11" s="3" t="s">
        <v>230</v>
      </c>
      <c r="CG11" s="3" t="s">
        <v>56</v>
      </c>
      <c r="CH11" s="3" t="s">
        <v>256</v>
      </c>
    </row>
    <row r="12" spans="1:86" x14ac:dyDescent="0.55000000000000004">
      <c r="A12" s="3" t="s">
        <v>690</v>
      </c>
      <c r="B12" s="3" t="s">
        <v>691</v>
      </c>
      <c r="C12" s="3" t="s">
        <v>88</v>
      </c>
      <c r="D12" s="3" t="s">
        <v>55</v>
      </c>
      <c r="E12" s="3" t="s">
        <v>692</v>
      </c>
      <c r="F12" s="3" t="s">
        <v>720</v>
      </c>
      <c r="G12" s="3" t="s">
        <v>53</v>
      </c>
      <c r="H12" s="3" t="s">
        <v>58</v>
      </c>
      <c r="I12" s="3" t="s">
        <v>59</v>
      </c>
      <c r="J12" s="3" t="s">
        <v>60</v>
      </c>
      <c r="K12" s="3" t="s">
        <v>77</v>
      </c>
      <c r="L12" s="3" t="s">
        <v>55</v>
      </c>
      <c r="M12" s="3" t="s">
        <v>88</v>
      </c>
      <c r="N12" s="3" t="s">
        <v>72</v>
      </c>
      <c r="O12" s="3" t="s">
        <v>56</v>
      </c>
      <c r="P12" s="3" t="s">
        <v>249</v>
      </c>
      <c r="Q12" s="3" t="s">
        <v>56</v>
      </c>
      <c r="R12" s="3" t="s">
        <v>224</v>
      </c>
      <c r="S12" s="3" t="s">
        <v>56</v>
      </c>
      <c r="T12" s="3" t="s">
        <v>209</v>
      </c>
      <c r="U12" s="3" t="s">
        <v>56</v>
      </c>
      <c r="V12" s="3" t="s">
        <v>210</v>
      </c>
      <c r="W12" s="3" t="s">
        <v>56</v>
      </c>
      <c r="X12" s="3" t="s">
        <v>786</v>
      </c>
      <c r="Y12" s="3" t="s">
        <v>56</v>
      </c>
      <c r="Z12" s="3" t="s">
        <v>374</v>
      </c>
      <c r="AA12" s="3" t="s">
        <v>56</v>
      </c>
      <c r="AB12" s="3" t="s">
        <v>392</v>
      </c>
      <c r="AC12" s="3" t="s">
        <v>56</v>
      </c>
      <c r="AD12" s="3" t="s">
        <v>411</v>
      </c>
      <c r="AE12" s="3" t="s">
        <v>56</v>
      </c>
      <c r="AF12" s="3" t="s">
        <v>823</v>
      </c>
      <c r="AG12" s="3" t="s">
        <v>56</v>
      </c>
      <c r="AH12" s="3" t="s">
        <v>824</v>
      </c>
      <c r="AI12" s="3" t="s">
        <v>56</v>
      </c>
      <c r="AJ12" s="3" t="s">
        <v>825</v>
      </c>
      <c r="AK12" s="3" t="s">
        <v>56</v>
      </c>
      <c r="AL12" s="3" t="s">
        <v>826</v>
      </c>
      <c r="AM12" s="3" t="s">
        <v>56</v>
      </c>
      <c r="AN12" s="3" t="s">
        <v>827</v>
      </c>
      <c r="AO12" s="3" t="s">
        <v>56</v>
      </c>
      <c r="AP12" s="3" t="s">
        <v>586</v>
      </c>
      <c r="AQ12" s="3" t="s">
        <v>56</v>
      </c>
      <c r="AR12" s="3" t="s">
        <v>437</v>
      </c>
      <c r="AS12" s="3" t="s">
        <v>56</v>
      </c>
      <c r="AT12" s="3" t="s">
        <v>353</v>
      </c>
      <c r="AU12" s="3" t="s">
        <v>56</v>
      </c>
      <c r="AV12" s="3" t="s">
        <v>828</v>
      </c>
      <c r="AW12" s="3" t="s">
        <v>56</v>
      </c>
      <c r="AX12" s="3" t="s">
        <v>829</v>
      </c>
      <c r="AY12" s="3" t="s">
        <v>56</v>
      </c>
      <c r="AZ12" s="3" t="s">
        <v>693</v>
      </c>
      <c r="BA12" s="3" t="s">
        <v>56</v>
      </c>
      <c r="BB12" s="3" t="s">
        <v>264</v>
      </c>
      <c r="BC12" s="3" t="s">
        <v>56</v>
      </c>
      <c r="BD12" s="3" t="s">
        <v>237</v>
      </c>
      <c r="BE12" s="3" t="s">
        <v>56</v>
      </c>
      <c r="BF12" s="3" t="s">
        <v>226</v>
      </c>
      <c r="BG12" s="3" t="s">
        <v>56</v>
      </c>
      <c r="BH12" s="3" t="s">
        <v>237</v>
      </c>
      <c r="BI12" s="3" t="s">
        <v>56</v>
      </c>
      <c r="BJ12" s="3" t="s">
        <v>460</v>
      </c>
      <c r="BK12" s="3" t="s">
        <v>56</v>
      </c>
      <c r="BL12" s="3" t="s">
        <v>461</v>
      </c>
      <c r="BM12" s="3" t="s">
        <v>56</v>
      </c>
      <c r="BN12" s="3" t="s">
        <v>261</v>
      </c>
      <c r="BO12" s="3" t="s">
        <v>56</v>
      </c>
      <c r="BP12" s="3" t="s">
        <v>830</v>
      </c>
      <c r="BQ12" s="3" t="s">
        <v>56</v>
      </c>
      <c r="BR12" s="3" t="s">
        <v>604</v>
      </c>
      <c r="BS12" s="3" t="s">
        <v>56</v>
      </c>
      <c r="BT12" s="3" t="s">
        <v>418</v>
      </c>
      <c r="BU12" s="3" t="s">
        <v>56</v>
      </c>
      <c r="BV12" s="3" t="s">
        <v>397</v>
      </c>
      <c r="BW12" s="3" t="s">
        <v>56</v>
      </c>
      <c r="BX12" s="3" t="s">
        <v>831</v>
      </c>
      <c r="BY12" s="3" t="s">
        <v>56</v>
      </c>
      <c r="BZ12" s="3" t="s">
        <v>379</v>
      </c>
      <c r="CA12" s="3" t="s">
        <v>56</v>
      </c>
      <c r="CB12" s="3" t="s">
        <v>683</v>
      </c>
      <c r="CC12" s="3" t="s">
        <v>56</v>
      </c>
      <c r="CD12" s="3" t="s">
        <v>472</v>
      </c>
      <c r="CE12" s="3" t="s">
        <v>56</v>
      </c>
      <c r="CF12" s="3" t="s">
        <v>337</v>
      </c>
      <c r="CG12" s="3" t="s">
        <v>56</v>
      </c>
      <c r="CH12" s="3" t="s">
        <v>260</v>
      </c>
    </row>
    <row r="13" spans="1:86" x14ac:dyDescent="0.55000000000000004">
      <c r="A13" s="3" t="s">
        <v>832</v>
      </c>
      <c r="B13" s="3" t="s">
        <v>833</v>
      </c>
      <c r="C13" s="3" t="s">
        <v>67</v>
      </c>
      <c r="D13" s="3" t="s">
        <v>68</v>
      </c>
      <c r="E13" s="3" t="s">
        <v>451</v>
      </c>
      <c r="F13" s="3" t="s">
        <v>720</v>
      </c>
      <c r="G13" s="3" t="s">
        <v>53</v>
      </c>
      <c r="H13" s="3" t="s">
        <v>58</v>
      </c>
      <c r="I13" s="3" t="s">
        <v>59</v>
      </c>
      <c r="J13" s="3" t="s">
        <v>60</v>
      </c>
      <c r="K13" s="3" t="s">
        <v>77</v>
      </c>
      <c r="L13" s="3" t="s">
        <v>68</v>
      </c>
      <c r="M13" s="3" t="s">
        <v>67</v>
      </c>
      <c r="N13" s="3" t="s">
        <v>70</v>
      </c>
      <c r="O13" s="3" t="s">
        <v>56</v>
      </c>
      <c r="P13" s="3" t="s">
        <v>248</v>
      </c>
      <c r="Q13" s="3" t="s">
        <v>56</v>
      </c>
      <c r="R13" s="3" t="s">
        <v>249</v>
      </c>
      <c r="S13" s="3" t="s">
        <v>56</v>
      </c>
      <c r="T13" s="3" t="s">
        <v>224</v>
      </c>
      <c r="U13" s="3" t="s">
        <v>56</v>
      </c>
      <c r="V13" s="3" t="s">
        <v>209</v>
      </c>
      <c r="W13" s="3" t="s">
        <v>56</v>
      </c>
      <c r="X13" s="3" t="s">
        <v>392</v>
      </c>
      <c r="Y13" s="3" t="s">
        <v>56</v>
      </c>
      <c r="Z13" s="3" t="s">
        <v>302</v>
      </c>
      <c r="AA13" s="3" t="s">
        <v>56</v>
      </c>
      <c r="AB13" s="3" t="s">
        <v>263</v>
      </c>
      <c r="AC13" s="3" t="s">
        <v>56</v>
      </c>
      <c r="AD13" s="3" t="s">
        <v>243</v>
      </c>
      <c r="AE13" s="3" t="s">
        <v>56</v>
      </c>
      <c r="AF13" s="3" t="s">
        <v>834</v>
      </c>
      <c r="AG13" s="3" t="s">
        <v>56</v>
      </c>
      <c r="AH13" s="3" t="s">
        <v>835</v>
      </c>
      <c r="AI13" s="3" t="s">
        <v>56</v>
      </c>
      <c r="AJ13" s="3" t="s">
        <v>836</v>
      </c>
      <c r="AK13" s="3" t="s">
        <v>56</v>
      </c>
      <c r="AL13" s="3" t="s">
        <v>837</v>
      </c>
      <c r="AM13" s="3" t="s">
        <v>56</v>
      </c>
      <c r="AN13" s="3" t="s">
        <v>838</v>
      </c>
      <c r="AO13" s="3" t="s">
        <v>56</v>
      </c>
      <c r="AP13" s="3" t="s">
        <v>474</v>
      </c>
      <c r="AQ13" s="3" t="s">
        <v>56</v>
      </c>
      <c r="AR13" s="3" t="s">
        <v>349</v>
      </c>
      <c r="AS13" s="3" t="s">
        <v>56</v>
      </c>
      <c r="AT13" s="3" t="s">
        <v>235</v>
      </c>
      <c r="AU13" s="3" t="s">
        <v>56</v>
      </c>
      <c r="AV13" s="3" t="s">
        <v>839</v>
      </c>
      <c r="AW13" s="3" t="s">
        <v>56</v>
      </c>
      <c r="AX13" s="3" t="s">
        <v>236</v>
      </c>
      <c r="AY13" s="3" t="s">
        <v>56</v>
      </c>
      <c r="AZ13" s="3" t="s">
        <v>840</v>
      </c>
      <c r="BA13" s="3" t="s">
        <v>56</v>
      </c>
      <c r="BB13" s="3" t="s">
        <v>245</v>
      </c>
      <c r="BC13" s="3" t="s">
        <v>56</v>
      </c>
      <c r="BD13" s="3" t="s">
        <v>252</v>
      </c>
      <c r="BE13" s="3" t="s">
        <v>56</v>
      </c>
      <c r="BF13" s="3" t="s">
        <v>218</v>
      </c>
      <c r="BG13" s="3" t="s">
        <v>56</v>
      </c>
      <c r="BH13" s="3" t="s">
        <v>245</v>
      </c>
      <c r="BI13" s="3" t="s">
        <v>56</v>
      </c>
      <c r="BJ13" s="3" t="s">
        <v>283</v>
      </c>
      <c r="BK13" s="3" t="s">
        <v>56</v>
      </c>
      <c r="BL13" s="3" t="s">
        <v>284</v>
      </c>
      <c r="BM13" s="3" t="s">
        <v>56</v>
      </c>
      <c r="BN13" s="3" t="s">
        <v>258</v>
      </c>
      <c r="BO13" s="3" t="s">
        <v>56</v>
      </c>
      <c r="BP13" s="3" t="s">
        <v>841</v>
      </c>
      <c r="BQ13" s="3" t="s">
        <v>56</v>
      </c>
      <c r="BR13" s="3" t="s">
        <v>809</v>
      </c>
      <c r="BS13" s="3" t="s">
        <v>56</v>
      </c>
      <c r="BT13" s="3" t="s">
        <v>239</v>
      </c>
      <c r="BU13" s="3" t="s">
        <v>56</v>
      </c>
      <c r="BV13" s="3" t="s">
        <v>324</v>
      </c>
      <c r="BW13" s="3" t="s">
        <v>56</v>
      </c>
      <c r="BX13" s="3" t="s">
        <v>296</v>
      </c>
      <c r="BY13" s="3" t="s">
        <v>56</v>
      </c>
      <c r="BZ13" s="3" t="s">
        <v>379</v>
      </c>
      <c r="CA13" s="3" t="s">
        <v>56</v>
      </c>
      <c r="CB13" s="3" t="s">
        <v>361</v>
      </c>
      <c r="CC13" s="3" t="s">
        <v>56</v>
      </c>
      <c r="CD13" s="3" t="s">
        <v>488</v>
      </c>
      <c r="CE13" s="3" t="s">
        <v>56</v>
      </c>
      <c r="CF13" s="3" t="s">
        <v>842</v>
      </c>
      <c r="CG13" s="3" t="s">
        <v>56</v>
      </c>
      <c r="CH13" s="3" t="s">
        <v>231</v>
      </c>
    </row>
    <row r="14" spans="1:86" x14ac:dyDescent="0.55000000000000004">
      <c r="A14" s="3" t="s">
        <v>73</v>
      </c>
      <c r="B14" s="3" t="s">
        <v>74</v>
      </c>
      <c r="C14" s="3" t="s">
        <v>54</v>
      </c>
      <c r="D14" s="3" t="s">
        <v>55</v>
      </c>
      <c r="E14" s="3" t="s">
        <v>65</v>
      </c>
      <c r="F14" s="3" t="s">
        <v>777</v>
      </c>
      <c r="G14" s="3" t="s">
        <v>53</v>
      </c>
      <c r="H14" s="3" t="s">
        <v>58</v>
      </c>
      <c r="I14" s="3" t="s">
        <v>59</v>
      </c>
      <c r="J14" s="3" t="s">
        <v>60</v>
      </c>
      <c r="K14" s="3" t="s">
        <v>77</v>
      </c>
      <c r="L14" s="3" t="s">
        <v>55</v>
      </c>
      <c r="M14" s="3" t="s">
        <v>54</v>
      </c>
      <c r="N14" s="3" t="s">
        <v>62</v>
      </c>
      <c r="O14" s="3" t="s">
        <v>56</v>
      </c>
      <c r="P14" s="3" t="s">
        <v>442</v>
      </c>
      <c r="Q14" s="3" t="s">
        <v>56</v>
      </c>
      <c r="R14" s="3" t="s">
        <v>248</v>
      </c>
      <c r="S14" s="3" t="s">
        <v>56</v>
      </c>
      <c r="T14" s="3" t="s">
        <v>248</v>
      </c>
      <c r="U14" s="3" t="s">
        <v>56</v>
      </c>
      <c r="V14" s="3" t="s">
        <v>750</v>
      </c>
      <c r="W14" s="3" t="s">
        <v>56</v>
      </c>
      <c r="X14" s="3" t="s">
        <v>477</v>
      </c>
      <c r="Y14" s="3" t="s">
        <v>56</v>
      </c>
      <c r="Z14" s="3" t="s">
        <v>490</v>
      </c>
      <c r="AA14" s="3" t="s">
        <v>56</v>
      </c>
      <c r="AB14" s="3" t="s">
        <v>343</v>
      </c>
      <c r="AC14" s="3" t="s">
        <v>56</v>
      </c>
      <c r="AD14" s="3" t="s">
        <v>213</v>
      </c>
      <c r="AE14" s="3" t="s">
        <v>56</v>
      </c>
      <c r="AF14" s="3" t="s">
        <v>843</v>
      </c>
      <c r="AG14" s="3" t="s">
        <v>56</v>
      </c>
      <c r="AH14" s="3" t="s">
        <v>844</v>
      </c>
      <c r="AI14" s="3" t="s">
        <v>56</v>
      </c>
      <c r="AJ14" s="3" t="s">
        <v>845</v>
      </c>
      <c r="AK14" s="3" t="s">
        <v>56</v>
      </c>
      <c r="AL14" s="3" t="s">
        <v>846</v>
      </c>
      <c r="AM14" s="3" t="s">
        <v>56</v>
      </c>
      <c r="AN14" s="3" t="s">
        <v>847</v>
      </c>
      <c r="AO14" s="3" t="s">
        <v>56</v>
      </c>
      <c r="AP14" s="3" t="s">
        <v>848</v>
      </c>
      <c r="AQ14" s="3" t="s">
        <v>56</v>
      </c>
      <c r="AR14" s="3" t="s">
        <v>849</v>
      </c>
      <c r="AS14" s="3" t="s">
        <v>56</v>
      </c>
      <c r="AT14" s="3" t="s">
        <v>215</v>
      </c>
      <c r="AU14" s="3" t="s">
        <v>56</v>
      </c>
      <c r="AV14" s="3" t="s">
        <v>850</v>
      </c>
      <c r="AW14" s="3" t="s">
        <v>56</v>
      </c>
      <c r="AX14" s="3" t="s">
        <v>829</v>
      </c>
      <c r="AY14" s="3" t="s">
        <v>56</v>
      </c>
      <c r="AZ14" s="3" t="s">
        <v>851</v>
      </c>
      <c r="BA14" s="3" t="s">
        <v>56</v>
      </c>
      <c r="BB14" s="3" t="s">
        <v>270</v>
      </c>
      <c r="BC14" s="3" t="s">
        <v>56</v>
      </c>
      <c r="BD14" s="3" t="s">
        <v>252</v>
      </c>
      <c r="BE14" s="3" t="s">
        <v>56</v>
      </c>
      <c r="BF14" s="3" t="s">
        <v>253</v>
      </c>
      <c r="BG14" s="3" t="s">
        <v>56</v>
      </c>
      <c r="BH14" s="3" t="s">
        <v>270</v>
      </c>
      <c r="BI14" s="3" t="s">
        <v>56</v>
      </c>
      <c r="BJ14" s="3" t="s">
        <v>239</v>
      </c>
      <c r="BK14" s="3" t="s">
        <v>56</v>
      </c>
      <c r="BL14" s="3" t="s">
        <v>221</v>
      </c>
      <c r="BM14" s="3" t="s">
        <v>56</v>
      </c>
      <c r="BN14" s="3" t="s">
        <v>241</v>
      </c>
      <c r="BO14" s="3" t="s">
        <v>56</v>
      </c>
      <c r="BP14" s="3" t="s">
        <v>852</v>
      </c>
      <c r="BQ14" s="3" t="s">
        <v>56</v>
      </c>
      <c r="BR14" s="3" t="s">
        <v>310</v>
      </c>
      <c r="BS14" s="3" t="s">
        <v>56</v>
      </c>
      <c r="BT14" s="3" t="s">
        <v>418</v>
      </c>
      <c r="BU14" s="3"/>
      <c r="BV14" s="3"/>
      <c r="BW14" s="3"/>
      <c r="BX14" s="3"/>
      <c r="BY14" s="3"/>
      <c r="BZ14" s="3"/>
      <c r="CA14" s="3"/>
      <c r="CB14" s="3"/>
      <c r="CC14" s="3"/>
      <c r="CD14" s="3"/>
      <c r="CE14" s="3"/>
      <c r="CF14" s="3"/>
      <c r="CG14" s="3" t="s">
        <v>56</v>
      </c>
      <c r="CH14" s="3" t="s">
        <v>260</v>
      </c>
    </row>
    <row r="15" spans="1:86" x14ac:dyDescent="0.55000000000000004">
      <c r="A15" s="3" t="s">
        <v>853</v>
      </c>
      <c r="B15" s="3" t="s">
        <v>854</v>
      </c>
      <c r="C15" s="3" t="s">
        <v>71</v>
      </c>
      <c r="D15" s="3" t="s">
        <v>68</v>
      </c>
      <c r="E15" s="3" t="s">
        <v>57</v>
      </c>
      <c r="F15" s="3" t="s">
        <v>777</v>
      </c>
      <c r="G15" s="3" t="s">
        <v>53</v>
      </c>
      <c r="H15" s="3" t="s">
        <v>58</v>
      </c>
      <c r="I15" s="3" t="s">
        <v>59</v>
      </c>
      <c r="J15" s="3" t="s">
        <v>63</v>
      </c>
      <c r="K15" s="3" t="s">
        <v>61</v>
      </c>
      <c r="L15" s="3" t="s">
        <v>68</v>
      </c>
      <c r="M15" s="3" t="s">
        <v>71</v>
      </c>
      <c r="N15" s="3" t="s">
        <v>75</v>
      </c>
      <c r="O15" s="3" t="s">
        <v>56</v>
      </c>
      <c r="P15" s="3" t="s">
        <v>249</v>
      </c>
      <c r="Q15" s="3" t="s">
        <v>56</v>
      </c>
      <c r="R15" s="3" t="s">
        <v>224</v>
      </c>
      <c r="S15" s="3" t="s">
        <v>56</v>
      </c>
      <c r="T15" s="3" t="s">
        <v>209</v>
      </c>
      <c r="U15" s="3" t="s">
        <v>56</v>
      </c>
      <c r="V15" s="3" t="s">
        <v>210</v>
      </c>
      <c r="W15" s="3" t="s">
        <v>56</v>
      </c>
      <c r="X15" s="3" t="s">
        <v>855</v>
      </c>
      <c r="Y15" s="3" t="s">
        <v>56</v>
      </c>
      <c r="Z15" s="3" t="s">
        <v>856</v>
      </c>
      <c r="AA15" s="3" t="s">
        <v>56</v>
      </c>
      <c r="AB15" s="3" t="s">
        <v>458</v>
      </c>
      <c r="AC15" s="3" t="s">
        <v>56</v>
      </c>
      <c r="AD15" s="3" t="s">
        <v>375</v>
      </c>
      <c r="AE15" s="3" t="s">
        <v>56</v>
      </c>
      <c r="AF15" s="3" t="s">
        <v>765</v>
      </c>
      <c r="AG15" s="3" t="s">
        <v>56</v>
      </c>
      <c r="AH15" s="3" t="s">
        <v>857</v>
      </c>
      <c r="AI15" s="3" t="s">
        <v>56</v>
      </c>
      <c r="AJ15" s="3" t="s">
        <v>858</v>
      </c>
      <c r="AK15" s="3" t="s">
        <v>56</v>
      </c>
      <c r="AL15" s="3" t="s">
        <v>859</v>
      </c>
      <c r="AM15" s="3" t="s">
        <v>56</v>
      </c>
      <c r="AN15" s="3" t="s">
        <v>860</v>
      </c>
      <c r="AO15" s="3" t="s">
        <v>56</v>
      </c>
      <c r="AP15" s="3" t="s">
        <v>647</v>
      </c>
      <c r="AQ15" s="3" t="s">
        <v>56</v>
      </c>
      <c r="AR15" s="3" t="s">
        <v>597</v>
      </c>
      <c r="AS15" s="3" t="s">
        <v>56</v>
      </c>
      <c r="AT15" s="3" t="s">
        <v>339</v>
      </c>
      <c r="AU15" s="3" t="s">
        <v>56</v>
      </c>
      <c r="AV15" s="3" t="s">
        <v>861</v>
      </c>
      <c r="AW15" s="3" t="s">
        <v>56</v>
      </c>
      <c r="AX15" s="3" t="s">
        <v>288</v>
      </c>
      <c r="AY15" s="3" t="s">
        <v>56</v>
      </c>
      <c r="AZ15" s="3" t="s">
        <v>677</v>
      </c>
      <c r="BA15" s="3" t="s">
        <v>56</v>
      </c>
      <c r="BB15" s="3" t="s">
        <v>264</v>
      </c>
      <c r="BC15" s="3" t="s">
        <v>56</v>
      </c>
      <c r="BD15" s="3" t="s">
        <v>237</v>
      </c>
      <c r="BE15" s="3" t="s">
        <v>56</v>
      </c>
      <c r="BF15" s="3" t="s">
        <v>218</v>
      </c>
      <c r="BG15" s="3" t="s">
        <v>56</v>
      </c>
      <c r="BH15" s="3" t="s">
        <v>226</v>
      </c>
      <c r="BI15" s="3" t="s">
        <v>56</v>
      </c>
      <c r="BJ15" s="3" t="s">
        <v>227</v>
      </c>
      <c r="BK15" s="3" t="s">
        <v>56</v>
      </c>
      <c r="BL15" s="3" t="s">
        <v>228</v>
      </c>
      <c r="BM15" s="3" t="s">
        <v>56</v>
      </c>
      <c r="BN15" s="3" t="s">
        <v>272</v>
      </c>
      <c r="BO15" s="3" t="s">
        <v>56</v>
      </c>
      <c r="BP15" s="3" t="s">
        <v>862</v>
      </c>
      <c r="BQ15" s="3" t="s">
        <v>56</v>
      </c>
      <c r="BR15" s="3" t="s">
        <v>863</v>
      </c>
      <c r="BS15" s="3" t="s">
        <v>56</v>
      </c>
      <c r="BT15" s="3" t="s">
        <v>319</v>
      </c>
      <c r="BU15" s="3" t="s">
        <v>56</v>
      </c>
      <c r="BV15" s="3" t="s">
        <v>332</v>
      </c>
      <c r="BW15" s="3" t="s">
        <v>56</v>
      </c>
      <c r="BX15" s="3" t="s">
        <v>463</v>
      </c>
      <c r="BY15" s="3" t="s">
        <v>56</v>
      </c>
      <c r="BZ15" s="3" t="s">
        <v>864</v>
      </c>
      <c r="CA15" s="3" t="s">
        <v>56</v>
      </c>
      <c r="CB15" s="3" t="s">
        <v>673</v>
      </c>
      <c r="CC15" s="3" t="s">
        <v>56</v>
      </c>
      <c r="CD15" s="3" t="s">
        <v>865</v>
      </c>
      <c r="CE15" s="3" t="s">
        <v>56</v>
      </c>
      <c r="CF15" s="3" t="s">
        <v>277</v>
      </c>
      <c r="CG15" s="3" t="s">
        <v>56</v>
      </c>
      <c r="CH15" s="3" t="s">
        <v>223</v>
      </c>
    </row>
    <row r="16" spans="1:86" x14ac:dyDescent="0.55000000000000004">
      <c r="A16" s="3" t="s">
        <v>608</v>
      </c>
      <c r="B16" s="3" t="s">
        <v>609</v>
      </c>
      <c r="C16" s="3" t="s">
        <v>71</v>
      </c>
      <c r="D16" s="3" t="s">
        <v>55</v>
      </c>
      <c r="E16" s="3" t="s">
        <v>78</v>
      </c>
      <c r="F16" s="3" t="s">
        <v>732</v>
      </c>
      <c r="G16" s="3" t="s">
        <v>53</v>
      </c>
      <c r="H16" s="3" t="s">
        <v>58</v>
      </c>
      <c r="I16" s="3" t="s">
        <v>59</v>
      </c>
      <c r="J16" s="3" t="s">
        <v>60</v>
      </c>
      <c r="K16" s="3" t="s">
        <v>77</v>
      </c>
      <c r="L16" s="3" t="s">
        <v>55</v>
      </c>
      <c r="M16" s="3" t="s">
        <v>71</v>
      </c>
      <c r="N16" s="3" t="s">
        <v>75</v>
      </c>
      <c r="O16" s="3" t="s">
        <v>56</v>
      </c>
      <c r="P16" s="3" t="s">
        <v>249</v>
      </c>
      <c r="Q16" s="3" t="s">
        <v>56</v>
      </c>
      <c r="R16" s="3" t="s">
        <v>224</v>
      </c>
      <c r="S16" s="3" t="s">
        <v>56</v>
      </c>
      <c r="T16" s="3" t="s">
        <v>209</v>
      </c>
      <c r="U16" s="3" t="s">
        <v>56</v>
      </c>
      <c r="V16" s="3" t="s">
        <v>210</v>
      </c>
      <c r="W16" s="3" t="s">
        <v>56</v>
      </c>
      <c r="X16" s="3" t="s">
        <v>599</v>
      </c>
      <c r="Y16" s="3" t="s">
        <v>56</v>
      </c>
      <c r="Z16" s="3" t="s">
        <v>213</v>
      </c>
      <c r="AA16" s="3" t="s">
        <v>56</v>
      </c>
      <c r="AB16" s="3" t="s">
        <v>263</v>
      </c>
      <c r="AC16" s="3" t="s">
        <v>56</v>
      </c>
      <c r="AD16" s="3" t="s">
        <v>434</v>
      </c>
      <c r="AE16" s="3" t="s">
        <v>56</v>
      </c>
      <c r="AF16" s="3" t="s">
        <v>866</v>
      </c>
      <c r="AG16" s="3" t="s">
        <v>56</v>
      </c>
      <c r="AH16" s="3" t="s">
        <v>867</v>
      </c>
      <c r="AI16" s="3" t="s">
        <v>56</v>
      </c>
      <c r="AJ16" s="3" t="s">
        <v>868</v>
      </c>
      <c r="AK16" s="3" t="s">
        <v>56</v>
      </c>
      <c r="AL16" s="3" t="s">
        <v>869</v>
      </c>
      <c r="AM16" s="3" t="s">
        <v>56</v>
      </c>
      <c r="AN16" s="3" t="s">
        <v>870</v>
      </c>
      <c r="AO16" s="3" t="s">
        <v>56</v>
      </c>
      <c r="AP16" s="3" t="s">
        <v>303</v>
      </c>
      <c r="AQ16" s="3" t="s">
        <v>56</v>
      </c>
      <c r="AR16" s="3" t="s">
        <v>282</v>
      </c>
      <c r="AS16" s="3" t="s">
        <v>56</v>
      </c>
      <c r="AT16" s="3" t="s">
        <v>251</v>
      </c>
      <c r="AU16" s="3" t="s">
        <v>56</v>
      </c>
      <c r="AV16" s="3" t="s">
        <v>738</v>
      </c>
      <c r="AW16" s="3" t="s">
        <v>56</v>
      </c>
      <c r="AX16" s="3" t="s">
        <v>459</v>
      </c>
      <c r="AY16" s="3" t="s">
        <v>56</v>
      </c>
      <c r="AZ16" s="3" t="s">
        <v>871</v>
      </c>
      <c r="BA16" s="3" t="s">
        <v>56</v>
      </c>
      <c r="BB16" s="3" t="s">
        <v>245</v>
      </c>
      <c r="BC16" s="3" t="s">
        <v>56</v>
      </c>
      <c r="BD16" s="3" t="s">
        <v>237</v>
      </c>
      <c r="BE16" s="3" t="s">
        <v>56</v>
      </c>
      <c r="BF16" s="3" t="s">
        <v>226</v>
      </c>
      <c r="BG16" s="3" t="s">
        <v>56</v>
      </c>
      <c r="BH16" s="3" t="s">
        <v>264</v>
      </c>
      <c r="BI16" s="3" t="s">
        <v>56</v>
      </c>
      <c r="BJ16" s="3" t="s">
        <v>219</v>
      </c>
      <c r="BK16" s="3" t="s">
        <v>56</v>
      </c>
      <c r="BL16" s="3" t="s">
        <v>220</v>
      </c>
      <c r="BM16" s="3" t="s">
        <v>56</v>
      </c>
      <c r="BN16" s="3" t="s">
        <v>246</v>
      </c>
      <c r="BO16" s="3" t="s">
        <v>56</v>
      </c>
      <c r="BP16" s="3" t="s">
        <v>872</v>
      </c>
      <c r="BQ16" s="3" t="s">
        <v>56</v>
      </c>
      <c r="BR16" s="3" t="s">
        <v>873</v>
      </c>
      <c r="BS16" s="3" t="s">
        <v>56</v>
      </c>
      <c r="BT16" s="3" t="s">
        <v>358</v>
      </c>
      <c r="BU16" s="3" t="s">
        <v>56</v>
      </c>
      <c r="BV16" s="3" t="s">
        <v>464</v>
      </c>
      <c r="BW16" s="3" t="s">
        <v>56</v>
      </c>
      <c r="BX16" s="3" t="s">
        <v>464</v>
      </c>
      <c r="BY16" s="3" t="s">
        <v>56</v>
      </c>
      <c r="BZ16" s="3" t="s">
        <v>874</v>
      </c>
      <c r="CA16" s="3" t="s">
        <v>56</v>
      </c>
      <c r="CB16" s="3" t="s">
        <v>587</v>
      </c>
      <c r="CC16" s="3" t="s">
        <v>56</v>
      </c>
      <c r="CD16" s="3" t="s">
        <v>875</v>
      </c>
      <c r="CE16" s="3" t="s">
        <v>56</v>
      </c>
      <c r="CF16" s="3" t="s">
        <v>286</v>
      </c>
      <c r="CG16" s="3" t="s">
        <v>56</v>
      </c>
      <c r="CH16" s="3" t="s">
        <v>223</v>
      </c>
    </row>
    <row r="17" spans="1:86" x14ac:dyDescent="0.55000000000000004">
      <c r="A17" s="3" t="s">
        <v>617</v>
      </c>
      <c r="B17" s="3" t="s">
        <v>618</v>
      </c>
      <c r="C17" s="3" t="s">
        <v>84</v>
      </c>
      <c r="D17" s="3" t="s">
        <v>68</v>
      </c>
      <c r="E17" s="3" t="s">
        <v>65</v>
      </c>
      <c r="F17" s="3" t="s">
        <v>876</v>
      </c>
      <c r="G17" s="3" t="s">
        <v>53</v>
      </c>
      <c r="H17" s="3" t="s">
        <v>80</v>
      </c>
      <c r="I17" s="3" t="s">
        <v>59</v>
      </c>
      <c r="J17" s="3" t="s">
        <v>81</v>
      </c>
      <c r="K17" s="3" t="s">
        <v>82</v>
      </c>
      <c r="L17" s="3" t="s">
        <v>68</v>
      </c>
      <c r="M17" s="3" t="s">
        <v>84</v>
      </c>
      <c r="N17" s="3" t="s">
        <v>87</v>
      </c>
      <c r="O17" s="3" t="s">
        <v>56</v>
      </c>
      <c r="P17" s="3" t="s">
        <v>224</v>
      </c>
      <c r="Q17" s="3" t="s">
        <v>56</v>
      </c>
      <c r="R17" s="3" t="s">
        <v>209</v>
      </c>
      <c r="S17" s="3" t="s">
        <v>56</v>
      </c>
      <c r="T17" s="3" t="s">
        <v>210</v>
      </c>
      <c r="U17" s="3" t="s">
        <v>56</v>
      </c>
      <c r="V17" s="3" t="s">
        <v>211</v>
      </c>
      <c r="W17" s="3" t="s">
        <v>56</v>
      </c>
      <c r="X17" s="3" t="s">
        <v>489</v>
      </c>
      <c r="Y17" s="3" t="s">
        <v>56</v>
      </c>
      <c r="Z17" s="3" t="s">
        <v>392</v>
      </c>
      <c r="AA17" s="3" t="s">
        <v>56</v>
      </c>
      <c r="AB17" s="3" t="s">
        <v>213</v>
      </c>
      <c r="AC17" s="3" t="s">
        <v>56</v>
      </c>
      <c r="AD17" s="3" t="s">
        <v>352</v>
      </c>
      <c r="AE17" s="3" t="s">
        <v>56</v>
      </c>
      <c r="AF17" s="3" t="s">
        <v>877</v>
      </c>
      <c r="AG17" s="3" t="s">
        <v>56</v>
      </c>
      <c r="AH17" s="3" t="s">
        <v>878</v>
      </c>
      <c r="AI17" s="3" t="s">
        <v>56</v>
      </c>
      <c r="AJ17" s="3" t="s">
        <v>879</v>
      </c>
      <c r="AK17" s="3" t="s">
        <v>56</v>
      </c>
      <c r="AL17" s="3" t="s">
        <v>880</v>
      </c>
      <c r="AM17" s="3" t="s">
        <v>56</v>
      </c>
      <c r="AN17" s="3" t="s">
        <v>860</v>
      </c>
      <c r="AO17" s="3" t="s">
        <v>56</v>
      </c>
      <c r="AP17" s="3" t="s">
        <v>426</v>
      </c>
      <c r="AQ17" s="3" t="s">
        <v>56</v>
      </c>
      <c r="AR17" s="3" t="s">
        <v>291</v>
      </c>
      <c r="AS17" s="3" t="s">
        <v>56</v>
      </c>
      <c r="AT17" s="3" t="s">
        <v>355</v>
      </c>
      <c r="AU17" s="3" t="s">
        <v>56</v>
      </c>
      <c r="AV17" s="3" t="s">
        <v>881</v>
      </c>
      <c r="AW17" s="3" t="s">
        <v>56</v>
      </c>
      <c r="AX17" s="3" t="s">
        <v>236</v>
      </c>
      <c r="AY17" s="3" t="s">
        <v>56</v>
      </c>
      <c r="AZ17" s="3" t="s">
        <v>882</v>
      </c>
      <c r="BA17" s="3" t="s">
        <v>56</v>
      </c>
      <c r="BB17" s="3" t="s">
        <v>245</v>
      </c>
      <c r="BC17" s="3" t="s">
        <v>56</v>
      </c>
      <c r="BD17" s="3" t="s">
        <v>217</v>
      </c>
      <c r="BE17" s="3" t="s">
        <v>56</v>
      </c>
      <c r="BF17" s="3" t="s">
        <v>245</v>
      </c>
      <c r="BG17" s="3" t="s">
        <v>56</v>
      </c>
      <c r="BH17" s="3" t="s">
        <v>245</v>
      </c>
      <c r="BI17" s="3" t="s">
        <v>56</v>
      </c>
      <c r="BJ17" s="3" t="s">
        <v>227</v>
      </c>
      <c r="BK17" s="3" t="s">
        <v>56</v>
      </c>
      <c r="BL17" s="3" t="s">
        <v>228</v>
      </c>
      <c r="BM17" s="3" t="s">
        <v>56</v>
      </c>
      <c r="BN17" s="3" t="s">
        <v>246</v>
      </c>
      <c r="BO17" s="3" t="s">
        <v>56</v>
      </c>
      <c r="BP17" s="3" t="s">
        <v>883</v>
      </c>
      <c r="BQ17" s="3" t="s">
        <v>56</v>
      </c>
      <c r="BR17" s="3" t="s">
        <v>695</v>
      </c>
      <c r="BS17" s="3" t="s">
        <v>56</v>
      </c>
      <c r="BT17" s="3" t="s">
        <v>247</v>
      </c>
      <c r="BU17" s="3" t="s">
        <v>56</v>
      </c>
      <c r="BV17" s="3" t="s">
        <v>884</v>
      </c>
      <c r="BW17" s="3" t="s">
        <v>56</v>
      </c>
      <c r="BX17" s="3" t="s">
        <v>885</v>
      </c>
      <c r="BY17" s="3" t="s">
        <v>56</v>
      </c>
      <c r="BZ17" s="3" t="s">
        <v>481</v>
      </c>
      <c r="CA17" s="3" t="s">
        <v>56</v>
      </c>
      <c r="CB17" s="3" t="s">
        <v>886</v>
      </c>
      <c r="CC17" s="3" t="s">
        <v>56</v>
      </c>
      <c r="CD17" s="3" t="s">
        <v>887</v>
      </c>
      <c r="CE17" s="3" t="s">
        <v>56</v>
      </c>
      <c r="CF17" s="3" t="s">
        <v>888</v>
      </c>
      <c r="CG17" s="3" t="s">
        <v>56</v>
      </c>
      <c r="CH17" s="3" t="s">
        <v>420</v>
      </c>
    </row>
    <row r="18" spans="1:86" x14ac:dyDescent="0.55000000000000004">
      <c r="A18" s="3" t="s">
        <v>85</v>
      </c>
      <c r="B18" s="3" t="s">
        <v>86</v>
      </c>
      <c r="C18" s="3" t="s">
        <v>67</v>
      </c>
      <c r="D18" s="3" t="s">
        <v>68</v>
      </c>
      <c r="E18" s="3" t="s">
        <v>65</v>
      </c>
      <c r="F18" s="3" t="s">
        <v>777</v>
      </c>
      <c r="G18" s="3" t="s">
        <v>53</v>
      </c>
      <c r="H18" s="3" t="s">
        <v>58</v>
      </c>
      <c r="I18" s="3" t="s">
        <v>59</v>
      </c>
      <c r="J18" s="3" t="s">
        <v>60</v>
      </c>
      <c r="K18" s="3" t="s">
        <v>77</v>
      </c>
      <c r="L18" s="3" t="s">
        <v>68</v>
      </c>
      <c r="M18" s="3" t="s">
        <v>67</v>
      </c>
      <c r="N18" s="3" t="s">
        <v>70</v>
      </c>
      <c r="O18" s="3" t="s">
        <v>56</v>
      </c>
      <c r="P18" s="3" t="s">
        <v>248</v>
      </c>
      <c r="Q18" s="3" t="s">
        <v>56</v>
      </c>
      <c r="R18" s="3" t="s">
        <v>249</v>
      </c>
      <c r="S18" s="3" t="s">
        <v>56</v>
      </c>
      <c r="T18" s="3" t="s">
        <v>224</v>
      </c>
      <c r="U18" s="3" t="s">
        <v>56</v>
      </c>
      <c r="V18" s="3" t="s">
        <v>209</v>
      </c>
      <c r="W18" s="3" t="s">
        <v>56</v>
      </c>
      <c r="X18" s="3" t="s">
        <v>485</v>
      </c>
      <c r="Y18" s="3" t="s">
        <v>56</v>
      </c>
      <c r="Z18" s="3" t="s">
        <v>214</v>
      </c>
      <c r="AA18" s="3" t="s">
        <v>56</v>
      </c>
      <c r="AB18" s="3" t="s">
        <v>295</v>
      </c>
      <c r="AC18" s="3" t="s">
        <v>56</v>
      </c>
      <c r="AD18" s="3" t="s">
        <v>889</v>
      </c>
      <c r="AE18" s="3" t="s">
        <v>56</v>
      </c>
      <c r="AF18" s="3" t="s">
        <v>890</v>
      </c>
      <c r="AG18" s="3" t="s">
        <v>56</v>
      </c>
      <c r="AH18" s="3" t="s">
        <v>891</v>
      </c>
      <c r="AI18" s="3" t="s">
        <v>56</v>
      </c>
      <c r="AJ18" s="3" t="s">
        <v>892</v>
      </c>
      <c r="AK18" s="3" t="s">
        <v>56</v>
      </c>
      <c r="AL18" s="3" t="s">
        <v>893</v>
      </c>
      <c r="AM18" s="3" t="s">
        <v>56</v>
      </c>
      <c r="AN18" s="3" t="s">
        <v>894</v>
      </c>
      <c r="AO18" s="3" t="s">
        <v>56</v>
      </c>
      <c r="AP18" s="3" t="s">
        <v>441</v>
      </c>
      <c r="AQ18" s="3" t="s">
        <v>56</v>
      </c>
      <c r="AR18" s="3" t="s">
        <v>895</v>
      </c>
      <c r="AS18" s="3" t="s">
        <v>56</v>
      </c>
      <c r="AT18" s="3" t="s">
        <v>215</v>
      </c>
      <c r="AU18" s="3" t="s">
        <v>56</v>
      </c>
      <c r="AV18" s="3" t="s">
        <v>896</v>
      </c>
      <c r="AW18" s="3" t="s">
        <v>56</v>
      </c>
      <c r="AX18" s="3" t="s">
        <v>216</v>
      </c>
      <c r="AY18" s="3" t="s">
        <v>56</v>
      </c>
      <c r="AZ18" s="3" t="s">
        <v>897</v>
      </c>
      <c r="BA18" s="3" t="s">
        <v>56</v>
      </c>
      <c r="BB18" s="3" t="s">
        <v>226</v>
      </c>
      <c r="BC18" s="3" t="s">
        <v>56</v>
      </c>
      <c r="BD18" s="3" t="s">
        <v>252</v>
      </c>
      <c r="BE18" s="3" t="s">
        <v>56</v>
      </c>
      <c r="BF18" s="3" t="s">
        <v>270</v>
      </c>
      <c r="BG18" s="3" t="s">
        <v>56</v>
      </c>
      <c r="BH18" s="3" t="s">
        <v>270</v>
      </c>
      <c r="BI18" s="3" t="s">
        <v>56</v>
      </c>
      <c r="BJ18" s="3" t="s">
        <v>371</v>
      </c>
      <c r="BK18" s="3" t="s">
        <v>56</v>
      </c>
      <c r="BL18" s="3" t="s">
        <v>258</v>
      </c>
      <c r="BM18" s="3" t="s">
        <v>56</v>
      </c>
      <c r="BN18" s="3" t="s">
        <v>290</v>
      </c>
      <c r="BO18" s="3" t="s">
        <v>56</v>
      </c>
      <c r="BP18" s="3" t="s">
        <v>898</v>
      </c>
      <c r="BQ18" s="3" t="s">
        <v>56</v>
      </c>
      <c r="BR18" s="3" t="s">
        <v>454</v>
      </c>
      <c r="BS18" s="3" t="s">
        <v>56</v>
      </c>
      <c r="BT18" s="3" t="s">
        <v>247</v>
      </c>
      <c r="BU18" s="3" t="s">
        <v>56</v>
      </c>
      <c r="BV18" s="3" t="s">
        <v>331</v>
      </c>
      <c r="BW18" s="3" t="s">
        <v>56</v>
      </c>
      <c r="BX18" s="3" t="s">
        <v>899</v>
      </c>
      <c r="BY18" s="3" t="s">
        <v>56</v>
      </c>
      <c r="BZ18" s="3" t="s">
        <v>687</v>
      </c>
      <c r="CA18" s="3" t="s">
        <v>56</v>
      </c>
      <c r="CB18" s="3" t="s">
        <v>900</v>
      </c>
      <c r="CC18" s="3" t="s">
        <v>56</v>
      </c>
      <c r="CD18" s="3" t="s">
        <v>901</v>
      </c>
      <c r="CE18" s="3" t="s">
        <v>56</v>
      </c>
      <c r="CF18" s="3" t="s">
        <v>902</v>
      </c>
      <c r="CG18" s="3" t="s">
        <v>56</v>
      </c>
      <c r="CH18" s="3" t="s">
        <v>710</v>
      </c>
    </row>
    <row r="19" spans="1:86" x14ac:dyDescent="0.55000000000000004">
      <c r="A19" s="3" t="s">
        <v>403</v>
      </c>
      <c r="B19" s="3" t="s">
        <v>404</v>
      </c>
      <c r="C19" s="3" t="s">
        <v>64</v>
      </c>
      <c r="D19" s="3" t="s">
        <v>55</v>
      </c>
      <c r="E19" s="3" t="s">
        <v>405</v>
      </c>
      <c r="F19" s="3" t="s">
        <v>903</v>
      </c>
      <c r="G19" s="3" t="s">
        <v>53</v>
      </c>
      <c r="H19" s="3" t="s">
        <v>58</v>
      </c>
      <c r="I19" s="3" t="s">
        <v>59</v>
      </c>
      <c r="J19" s="3" t="s">
        <v>81</v>
      </c>
      <c r="K19" s="3" t="s">
        <v>82</v>
      </c>
      <c r="L19" s="3" t="s">
        <v>55</v>
      </c>
      <c r="M19" s="3" t="s">
        <v>64</v>
      </c>
      <c r="N19" s="3" t="s">
        <v>66</v>
      </c>
      <c r="O19" s="3" t="s">
        <v>56</v>
      </c>
      <c r="P19" s="3" t="s">
        <v>249</v>
      </c>
      <c r="Q19" s="3" t="s">
        <v>56</v>
      </c>
      <c r="R19" s="3" t="s">
        <v>224</v>
      </c>
      <c r="S19" s="3" t="s">
        <v>56</v>
      </c>
      <c r="T19" s="3" t="s">
        <v>209</v>
      </c>
      <c r="U19" s="3" t="s">
        <v>56</v>
      </c>
      <c r="V19" s="3" t="s">
        <v>210</v>
      </c>
      <c r="W19" s="3" t="s">
        <v>56</v>
      </c>
      <c r="X19" s="3" t="s">
        <v>277</v>
      </c>
      <c r="Y19" s="3" t="s">
        <v>56</v>
      </c>
      <c r="Z19" s="3" t="s">
        <v>406</v>
      </c>
      <c r="AA19" s="3" t="s">
        <v>56</v>
      </c>
      <c r="AB19" s="3" t="s">
        <v>398</v>
      </c>
      <c r="AC19" s="3" t="s">
        <v>56</v>
      </c>
      <c r="AD19" s="3" t="s">
        <v>435</v>
      </c>
      <c r="AE19" s="3" t="s">
        <v>56</v>
      </c>
      <c r="AF19" s="3" t="s">
        <v>904</v>
      </c>
      <c r="AG19" s="3" t="s">
        <v>56</v>
      </c>
      <c r="AH19" s="3" t="s">
        <v>905</v>
      </c>
      <c r="AI19" s="3" t="s">
        <v>56</v>
      </c>
      <c r="AJ19" s="3" t="s">
        <v>906</v>
      </c>
      <c r="AK19" s="3" t="s">
        <v>56</v>
      </c>
      <c r="AL19" s="3" t="s">
        <v>907</v>
      </c>
      <c r="AM19" s="3" t="s">
        <v>56</v>
      </c>
      <c r="AN19" s="3" t="s">
        <v>402</v>
      </c>
      <c r="AO19" s="3" t="s">
        <v>56</v>
      </c>
      <c r="AP19" s="3" t="s">
        <v>620</v>
      </c>
      <c r="AQ19" s="3" t="s">
        <v>56</v>
      </c>
      <c r="AR19" s="3" t="s">
        <v>378</v>
      </c>
      <c r="AS19" s="3" t="s">
        <v>56</v>
      </c>
      <c r="AT19" s="3" t="s">
        <v>417</v>
      </c>
      <c r="AU19" s="3" t="s">
        <v>56</v>
      </c>
      <c r="AV19" s="3" t="s">
        <v>717</v>
      </c>
      <c r="AW19" s="3" t="s">
        <v>56</v>
      </c>
      <c r="AX19" s="3" t="s">
        <v>459</v>
      </c>
      <c r="AY19" s="3" t="s">
        <v>56</v>
      </c>
      <c r="AZ19" s="3" t="s">
        <v>871</v>
      </c>
      <c r="BA19" s="3" t="s">
        <v>56</v>
      </c>
      <c r="BB19" s="3" t="s">
        <v>264</v>
      </c>
      <c r="BC19" s="3" t="s">
        <v>56</v>
      </c>
      <c r="BD19" s="3" t="s">
        <v>237</v>
      </c>
      <c r="BE19" s="3" t="s">
        <v>56</v>
      </c>
      <c r="BF19" s="3" t="s">
        <v>264</v>
      </c>
      <c r="BG19" s="3" t="s">
        <v>56</v>
      </c>
      <c r="BH19" s="3" t="s">
        <v>245</v>
      </c>
      <c r="BI19" s="3" t="s">
        <v>56</v>
      </c>
      <c r="BJ19" s="3" t="s">
        <v>369</v>
      </c>
      <c r="BK19" s="3" t="s">
        <v>56</v>
      </c>
      <c r="BL19" s="3" t="s">
        <v>370</v>
      </c>
      <c r="BM19" s="3" t="s">
        <v>56</v>
      </c>
      <c r="BN19" s="3" t="s">
        <v>272</v>
      </c>
      <c r="BO19" s="3" t="s">
        <v>56</v>
      </c>
      <c r="BP19" s="3" t="s">
        <v>908</v>
      </c>
      <c r="BQ19" s="3" t="s">
        <v>56</v>
      </c>
      <c r="BR19" s="3" t="s">
        <v>909</v>
      </c>
      <c r="BS19" s="3" t="s">
        <v>56</v>
      </c>
      <c r="BT19" s="3" t="s">
        <v>371</v>
      </c>
      <c r="BU19" s="3" t="s">
        <v>56</v>
      </c>
      <c r="BV19" s="3" t="s">
        <v>910</v>
      </c>
      <c r="BW19" s="3" t="s">
        <v>56</v>
      </c>
      <c r="BX19" s="3" t="s">
        <v>324</v>
      </c>
      <c r="BY19" s="3" t="s">
        <v>56</v>
      </c>
      <c r="BZ19" s="3" t="s">
        <v>911</v>
      </c>
      <c r="CA19" s="3" t="s">
        <v>56</v>
      </c>
      <c r="CB19" s="3" t="s">
        <v>583</v>
      </c>
      <c r="CC19" s="3" t="s">
        <v>56</v>
      </c>
      <c r="CD19" s="3" t="s">
        <v>293</v>
      </c>
      <c r="CE19" s="3" t="s">
        <v>56</v>
      </c>
      <c r="CF19" s="3" t="s">
        <v>213</v>
      </c>
      <c r="CG19" s="3" t="s">
        <v>56</v>
      </c>
      <c r="CH19" s="3" t="s">
        <v>602</v>
      </c>
    </row>
    <row r="20" spans="1:86" x14ac:dyDescent="0.55000000000000004">
      <c r="A20" s="3" t="s">
        <v>412</v>
      </c>
      <c r="B20" s="3" t="s">
        <v>413</v>
      </c>
      <c r="C20" s="3" t="s">
        <v>414</v>
      </c>
      <c r="D20" s="3" t="s">
        <v>55</v>
      </c>
      <c r="E20" s="3" t="s">
        <v>76</v>
      </c>
      <c r="F20" s="3" t="s">
        <v>903</v>
      </c>
      <c r="G20" s="3" t="s">
        <v>53</v>
      </c>
      <c r="H20" s="3" t="s">
        <v>80</v>
      </c>
      <c r="I20" s="3" t="s">
        <v>59</v>
      </c>
      <c r="J20" s="3" t="s">
        <v>81</v>
      </c>
      <c r="K20" s="3" t="s">
        <v>82</v>
      </c>
      <c r="L20" s="3" t="s">
        <v>55</v>
      </c>
      <c r="M20" s="3" t="s">
        <v>414</v>
      </c>
      <c r="N20" s="3" t="s">
        <v>912</v>
      </c>
      <c r="O20" s="3" t="s">
        <v>56</v>
      </c>
      <c r="P20" s="3" t="s">
        <v>210</v>
      </c>
      <c r="Q20" s="3" t="s">
        <v>56</v>
      </c>
      <c r="R20" s="3" t="s">
        <v>211</v>
      </c>
      <c r="S20" s="3" t="s">
        <v>56</v>
      </c>
      <c r="T20" s="3" t="s">
        <v>212</v>
      </c>
      <c r="U20" s="3" t="s">
        <v>56</v>
      </c>
      <c r="V20" s="3" t="s">
        <v>365</v>
      </c>
      <c r="W20" s="3" t="s">
        <v>56</v>
      </c>
      <c r="X20" s="3" t="s">
        <v>489</v>
      </c>
      <c r="Y20" s="3" t="s">
        <v>56</v>
      </c>
      <c r="Z20" s="3" t="s">
        <v>277</v>
      </c>
      <c r="AA20" s="3" t="s">
        <v>56</v>
      </c>
      <c r="AB20" s="3" t="s">
        <v>263</v>
      </c>
      <c r="AC20" s="3" t="s">
        <v>56</v>
      </c>
      <c r="AD20" s="3" t="s">
        <v>279</v>
      </c>
      <c r="AE20" s="3" t="s">
        <v>56</v>
      </c>
      <c r="AF20" s="3" t="s">
        <v>913</v>
      </c>
      <c r="AG20" s="3" t="s">
        <v>56</v>
      </c>
      <c r="AH20" s="3" t="s">
        <v>914</v>
      </c>
      <c r="AI20" s="3" t="s">
        <v>56</v>
      </c>
      <c r="AJ20" s="3" t="s">
        <v>915</v>
      </c>
      <c r="AK20" s="3" t="s">
        <v>56</v>
      </c>
      <c r="AL20" s="3" t="s">
        <v>916</v>
      </c>
      <c r="AM20" s="3" t="s">
        <v>56</v>
      </c>
      <c r="AN20" s="3" t="s">
        <v>622</v>
      </c>
      <c r="AO20" s="3" t="s">
        <v>56</v>
      </c>
      <c r="AP20" s="3" t="s">
        <v>466</v>
      </c>
      <c r="AQ20" s="3" t="s">
        <v>56</v>
      </c>
      <c r="AR20" s="3" t="s">
        <v>917</v>
      </c>
      <c r="AS20" s="3" t="s">
        <v>56</v>
      </c>
      <c r="AT20" s="3" t="s">
        <v>215</v>
      </c>
      <c r="AU20" s="3" t="s">
        <v>56</v>
      </c>
      <c r="AV20" s="3" t="s">
        <v>918</v>
      </c>
      <c r="AW20" s="3" t="s">
        <v>56</v>
      </c>
      <c r="AX20" s="3" t="s">
        <v>244</v>
      </c>
      <c r="AY20" s="3" t="s">
        <v>56</v>
      </c>
      <c r="AZ20" s="3" t="s">
        <v>919</v>
      </c>
      <c r="BA20" s="3" t="s">
        <v>56</v>
      </c>
      <c r="BB20" s="3" t="s">
        <v>264</v>
      </c>
      <c r="BC20" s="3" t="s">
        <v>56</v>
      </c>
      <c r="BD20" s="3" t="s">
        <v>237</v>
      </c>
      <c r="BE20" s="3" t="s">
        <v>56</v>
      </c>
      <c r="BF20" s="3" t="s">
        <v>245</v>
      </c>
      <c r="BG20" s="3" t="s">
        <v>56</v>
      </c>
      <c r="BH20" s="3" t="s">
        <v>264</v>
      </c>
      <c r="BI20" s="3" t="s">
        <v>56</v>
      </c>
      <c r="BJ20" s="3" t="s">
        <v>369</v>
      </c>
      <c r="BK20" s="3" t="s">
        <v>56</v>
      </c>
      <c r="BL20" s="3" t="s">
        <v>370</v>
      </c>
      <c r="BM20" s="3" t="s">
        <v>56</v>
      </c>
      <c r="BN20" s="3" t="s">
        <v>311</v>
      </c>
      <c r="BO20" s="3" t="s">
        <v>56</v>
      </c>
      <c r="BP20" s="3" t="s">
        <v>920</v>
      </c>
      <c r="BQ20" s="3" t="s">
        <v>56</v>
      </c>
      <c r="BR20" s="3" t="s">
        <v>921</v>
      </c>
      <c r="BS20" s="3" t="s">
        <v>56</v>
      </c>
      <c r="BT20" s="3" t="s">
        <v>416</v>
      </c>
      <c r="BU20" s="3" t="s">
        <v>56</v>
      </c>
      <c r="BV20" s="3" t="s">
        <v>922</v>
      </c>
      <c r="BW20" s="3" t="s">
        <v>56</v>
      </c>
      <c r="BX20" s="3" t="s">
        <v>923</v>
      </c>
      <c r="BY20" s="3" t="s">
        <v>56</v>
      </c>
      <c r="BZ20" s="3" t="s">
        <v>924</v>
      </c>
      <c r="CA20" s="3" t="s">
        <v>56</v>
      </c>
      <c r="CB20" s="3" t="s">
        <v>925</v>
      </c>
      <c r="CC20" s="3" t="s">
        <v>56</v>
      </c>
      <c r="CD20" s="3" t="s">
        <v>926</v>
      </c>
      <c r="CE20" s="3" t="s">
        <v>56</v>
      </c>
      <c r="CF20" s="3" t="s">
        <v>927</v>
      </c>
      <c r="CG20" s="3" t="s">
        <v>56</v>
      </c>
      <c r="CH20" s="3" t="s">
        <v>420</v>
      </c>
    </row>
    <row r="21" spans="1:86" x14ac:dyDescent="0.55000000000000004">
      <c r="A21" s="3" t="s">
        <v>455</v>
      </c>
      <c r="B21" s="3" t="s">
        <v>456</v>
      </c>
      <c r="C21" s="3" t="s">
        <v>79</v>
      </c>
      <c r="D21" s="3" t="s">
        <v>68</v>
      </c>
      <c r="E21" s="3" t="s">
        <v>457</v>
      </c>
      <c r="F21" s="3" t="s">
        <v>732</v>
      </c>
      <c r="G21" s="3" t="s">
        <v>53</v>
      </c>
      <c r="H21" s="3" t="s">
        <v>80</v>
      </c>
      <c r="I21" s="3" t="s">
        <v>59</v>
      </c>
      <c r="J21" s="3" t="s">
        <v>81</v>
      </c>
      <c r="K21" s="3" t="s">
        <v>82</v>
      </c>
      <c r="L21" s="3" t="s">
        <v>68</v>
      </c>
      <c r="M21" s="3" t="s">
        <v>79</v>
      </c>
      <c r="N21" s="3" t="s">
        <v>83</v>
      </c>
      <c r="O21" s="3" t="s">
        <v>56</v>
      </c>
      <c r="P21" s="3" t="s">
        <v>224</v>
      </c>
      <c r="Q21" s="3" t="s">
        <v>56</v>
      </c>
      <c r="R21" s="3" t="s">
        <v>209</v>
      </c>
      <c r="S21" s="3" t="s">
        <v>56</v>
      </c>
      <c r="T21" s="3" t="s">
        <v>210</v>
      </c>
      <c r="U21" s="3" t="s">
        <v>56</v>
      </c>
      <c r="V21" s="3" t="s">
        <v>211</v>
      </c>
      <c r="W21" s="3" t="s">
        <v>56</v>
      </c>
      <c r="X21" s="3" t="s">
        <v>233</v>
      </c>
      <c r="Y21" s="3" t="s">
        <v>56</v>
      </c>
      <c r="Z21" s="3" t="s">
        <v>243</v>
      </c>
      <c r="AA21" s="3" t="s">
        <v>56</v>
      </c>
      <c r="AB21" s="3" t="s">
        <v>295</v>
      </c>
      <c r="AC21" s="3" t="s">
        <v>56</v>
      </c>
      <c r="AD21" s="3" t="s">
        <v>240</v>
      </c>
      <c r="AE21" s="3" t="s">
        <v>56</v>
      </c>
      <c r="AF21" s="3" t="s">
        <v>928</v>
      </c>
      <c r="AG21" s="3" t="s">
        <v>56</v>
      </c>
      <c r="AH21" s="3" t="s">
        <v>929</v>
      </c>
      <c r="AI21" s="3" t="s">
        <v>56</v>
      </c>
      <c r="AJ21" s="3" t="s">
        <v>930</v>
      </c>
      <c r="AK21" s="3" t="s">
        <v>56</v>
      </c>
      <c r="AL21" s="3" t="s">
        <v>931</v>
      </c>
      <c r="AM21" s="3" t="s">
        <v>56</v>
      </c>
      <c r="AN21" s="3" t="s">
        <v>932</v>
      </c>
      <c r="AO21" s="3" t="s">
        <v>56</v>
      </c>
      <c r="AP21" s="3" t="s">
        <v>303</v>
      </c>
      <c r="AQ21" s="3" t="s">
        <v>56</v>
      </c>
      <c r="AR21" s="3" t="s">
        <v>282</v>
      </c>
      <c r="AS21" s="3" t="s">
        <v>56</v>
      </c>
      <c r="AT21" s="3" t="s">
        <v>235</v>
      </c>
      <c r="AU21" s="3" t="s">
        <v>56</v>
      </c>
      <c r="AV21" s="3" t="s">
        <v>933</v>
      </c>
      <c r="AW21" s="3" t="s">
        <v>56</v>
      </c>
      <c r="AX21" s="3" t="s">
        <v>236</v>
      </c>
      <c r="AY21" s="3" t="s">
        <v>56</v>
      </c>
      <c r="AZ21" s="3" t="s">
        <v>605</v>
      </c>
      <c r="BA21" s="3" t="s">
        <v>56</v>
      </c>
      <c r="BB21" s="3" t="s">
        <v>264</v>
      </c>
      <c r="BC21" s="3" t="s">
        <v>56</v>
      </c>
      <c r="BD21" s="3" t="s">
        <v>252</v>
      </c>
      <c r="BE21" s="3" t="s">
        <v>56</v>
      </c>
      <c r="BF21" s="3" t="s">
        <v>237</v>
      </c>
      <c r="BG21" s="3" t="s">
        <v>56</v>
      </c>
      <c r="BH21" s="3" t="s">
        <v>252</v>
      </c>
      <c r="BI21" s="3" t="s">
        <v>56</v>
      </c>
      <c r="BJ21" s="3" t="s">
        <v>934</v>
      </c>
      <c r="BK21" s="3" t="s">
        <v>56</v>
      </c>
      <c r="BL21" s="3" t="s">
        <v>309</v>
      </c>
      <c r="BM21" s="3" t="s">
        <v>56</v>
      </c>
      <c r="BN21" s="3" t="s">
        <v>221</v>
      </c>
      <c r="BO21" s="3" t="s">
        <v>56</v>
      </c>
      <c r="BP21" s="3" t="s">
        <v>935</v>
      </c>
      <c r="BQ21" s="3" t="s">
        <v>56</v>
      </c>
      <c r="BR21" s="3" t="s">
        <v>936</v>
      </c>
      <c r="BS21" s="3" t="s">
        <v>56</v>
      </c>
      <c r="BT21" s="3" t="s">
        <v>421</v>
      </c>
      <c r="BU21" s="3" t="s">
        <v>56</v>
      </c>
      <c r="BV21" s="3" t="s">
        <v>324</v>
      </c>
      <c r="BW21" s="3" t="s">
        <v>56</v>
      </c>
      <c r="BX21" s="3" t="s">
        <v>634</v>
      </c>
      <c r="BY21" s="3" t="s">
        <v>56</v>
      </c>
      <c r="BZ21" s="3" t="s">
        <v>937</v>
      </c>
      <c r="CA21" s="3" t="s">
        <v>56</v>
      </c>
      <c r="CB21" s="3" t="s">
        <v>938</v>
      </c>
      <c r="CC21" s="3" t="s">
        <v>56</v>
      </c>
      <c r="CD21" s="3" t="s">
        <v>474</v>
      </c>
      <c r="CE21" s="3" t="s">
        <v>56</v>
      </c>
      <c r="CF21" s="3" t="s">
        <v>262</v>
      </c>
      <c r="CG21" s="3" t="s">
        <v>56</v>
      </c>
      <c r="CH21" s="3" t="s">
        <v>223</v>
      </c>
    </row>
    <row r="22" spans="1:86" x14ac:dyDescent="0.55000000000000004">
      <c r="A22" s="3" t="s">
        <v>462</v>
      </c>
      <c r="B22" s="3" t="s">
        <v>336</v>
      </c>
      <c r="C22" s="3" t="s">
        <v>54</v>
      </c>
      <c r="D22" s="3" t="s">
        <v>55</v>
      </c>
      <c r="E22" s="3" t="s">
        <v>457</v>
      </c>
      <c r="F22" s="3" t="s">
        <v>732</v>
      </c>
      <c r="G22" s="3" t="s">
        <v>53</v>
      </c>
      <c r="H22" s="3" t="s">
        <v>58</v>
      </c>
      <c r="I22" s="3" t="s">
        <v>59</v>
      </c>
      <c r="J22" s="3" t="s">
        <v>81</v>
      </c>
      <c r="K22" s="3" t="s">
        <v>82</v>
      </c>
      <c r="L22" s="3" t="s">
        <v>55</v>
      </c>
      <c r="M22" s="3" t="s">
        <v>54</v>
      </c>
      <c r="N22" s="3" t="s">
        <v>62</v>
      </c>
      <c r="O22" s="3" t="s">
        <v>56</v>
      </c>
      <c r="P22" s="3" t="s">
        <v>224</v>
      </c>
      <c r="Q22" s="3" t="s">
        <v>56</v>
      </c>
      <c r="R22" s="3" t="s">
        <v>209</v>
      </c>
      <c r="S22" s="3" t="s">
        <v>56</v>
      </c>
      <c r="T22" s="3" t="s">
        <v>210</v>
      </c>
      <c r="U22" s="3" t="s">
        <v>56</v>
      </c>
      <c r="V22" s="3" t="s">
        <v>211</v>
      </c>
      <c r="W22" s="3" t="s">
        <v>56</v>
      </c>
      <c r="X22" s="3" t="s">
        <v>764</v>
      </c>
      <c r="Y22" s="3" t="s">
        <v>56</v>
      </c>
      <c r="Z22" s="3" t="s">
        <v>764</v>
      </c>
      <c r="AA22" s="3" t="s">
        <v>56</v>
      </c>
      <c r="AB22" s="3" t="s">
        <v>764</v>
      </c>
      <c r="AC22" s="3" t="s">
        <v>56</v>
      </c>
      <c r="AD22" s="3" t="s">
        <v>764</v>
      </c>
      <c r="AE22" s="3" t="s">
        <v>56</v>
      </c>
      <c r="AF22" s="3" t="s">
        <v>939</v>
      </c>
      <c r="AG22" s="3" t="s">
        <v>56</v>
      </c>
      <c r="AH22" s="3" t="s">
        <v>940</v>
      </c>
      <c r="AI22" s="3" t="s">
        <v>56</v>
      </c>
      <c r="AJ22" s="3" t="s">
        <v>941</v>
      </c>
      <c r="AK22" s="3" t="s">
        <v>56</v>
      </c>
      <c r="AL22" s="3" t="s">
        <v>942</v>
      </c>
      <c r="AM22" s="3" t="s">
        <v>56</v>
      </c>
      <c r="AN22" s="3" t="s">
        <v>942</v>
      </c>
      <c r="AO22" s="3" t="s">
        <v>56</v>
      </c>
      <c r="AP22" s="3" t="s">
        <v>942</v>
      </c>
      <c r="AQ22" s="3" t="s">
        <v>56</v>
      </c>
      <c r="AR22" s="3" t="s">
        <v>409</v>
      </c>
      <c r="AS22" s="3" t="s">
        <v>56</v>
      </c>
      <c r="AT22" s="3" t="s">
        <v>215</v>
      </c>
      <c r="AU22" s="3" t="s">
        <v>56</v>
      </c>
      <c r="AV22" s="3" t="s">
        <v>943</v>
      </c>
      <c r="AW22" s="3" t="s">
        <v>56</v>
      </c>
      <c r="AX22" s="3" t="s">
        <v>829</v>
      </c>
      <c r="AY22" s="3" t="s">
        <v>56</v>
      </c>
      <c r="AZ22" s="3" t="s">
        <v>605</v>
      </c>
      <c r="BA22" s="3" t="s">
        <v>56</v>
      </c>
      <c r="BB22" s="3" t="s">
        <v>218</v>
      </c>
      <c r="BC22" s="3" t="s">
        <v>56</v>
      </c>
      <c r="BD22" s="3" t="s">
        <v>237</v>
      </c>
      <c r="BE22" s="3" t="s">
        <v>56</v>
      </c>
      <c r="BF22" s="3" t="s">
        <v>217</v>
      </c>
      <c r="BG22" s="3" t="s">
        <v>56</v>
      </c>
      <c r="BH22" s="3" t="s">
        <v>226</v>
      </c>
      <c r="BI22" s="3" t="s">
        <v>56</v>
      </c>
      <c r="BJ22" s="3" t="s">
        <v>254</v>
      </c>
      <c r="BK22" s="3" t="s">
        <v>56</v>
      </c>
      <c r="BL22" s="3" t="s">
        <v>255</v>
      </c>
      <c r="BM22" s="3" t="s">
        <v>56</v>
      </c>
      <c r="BN22" s="3" t="s">
        <v>261</v>
      </c>
      <c r="BO22" s="3" t="s">
        <v>56</v>
      </c>
      <c r="BP22" s="3" t="s">
        <v>701</v>
      </c>
      <c r="BQ22" s="3" t="s">
        <v>56</v>
      </c>
      <c r="BR22" s="3" t="s">
        <v>944</v>
      </c>
      <c r="BS22" s="3" t="s">
        <v>56</v>
      </c>
      <c r="BT22" s="3" t="s">
        <v>319</v>
      </c>
      <c r="BU22" s="3" t="s">
        <v>56</v>
      </c>
      <c r="BV22" s="3" t="s">
        <v>321</v>
      </c>
      <c r="BW22" s="3" t="s">
        <v>56</v>
      </c>
      <c r="BX22" s="3" t="s">
        <v>296</v>
      </c>
      <c r="BY22" s="3" t="s">
        <v>56</v>
      </c>
      <c r="BZ22" s="3" t="s">
        <v>945</v>
      </c>
      <c r="CA22" s="3" t="s">
        <v>56</v>
      </c>
      <c r="CB22" s="3" t="s">
        <v>427</v>
      </c>
      <c r="CC22" s="3" t="s">
        <v>56</v>
      </c>
      <c r="CD22" s="3" t="s">
        <v>251</v>
      </c>
      <c r="CE22" s="3" t="s">
        <v>56</v>
      </c>
      <c r="CF22" s="3" t="s">
        <v>374</v>
      </c>
      <c r="CG22" s="3" t="s">
        <v>56</v>
      </c>
      <c r="CH22" s="3" t="s">
        <v>221</v>
      </c>
    </row>
    <row r="23" spans="1:86" x14ac:dyDescent="0.55000000000000004">
      <c r="A23" s="3" t="s">
        <v>350</v>
      </c>
      <c r="B23" s="3" t="s">
        <v>351</v>
      </c>
      <c r="C23" s="3" t="s">
        <v>64</v>
      </c>
      <c r="D23" s="3" t="s">
        <v>55</v>
      </c>
      <c r="E23" s="3" t="s">
        <v>76</v>
      </c>
      <c r="F23" s="3" t="s">
        <v>720</v>
      </c>
      <c r="G23" s="3" t="s">
        <v>53</v>
      </c>
      <c r="H23" s="3" t="s">
        <v>58</v>
      </c>
      <c r="I23" s="3" t="s">
        <v>59</v>
      </c>
      <c r="J23" s="3" t="s">
        <v>63</v>
      </c>
      <c r="K23" s="3" t="s">
        <v>61</v>
      </c>
      <c r="L23" s="3" t="s">
        <v>55</v>
      </c>
      <c r="M23" s="3" t="s">
        <v>64</v>
      </c>
      <c r="N23" s="3" t="s">
        <v>66</v>
      </c>
      <c r="O23" s="3" t="s">
        <v>56</v>
      </c>
      <c r="P23" s="3" t="s">
        <v>224</v>
      </c>
      <c r="Q23" s="3" t="s">
        <v>56</v>
      </c>
      <c r="R23" s="3" t="s">
        <v>209</v>
      </c>
      <c r="S23" s="3" t="s">
        <v>56</v>
      </c>
      <c r="T23" s="3" t="s">
        <v>210</v>
      </c>
      <c r="U23" s="3" t="s">
        <v>56</v>
      </c>
      <c r="V23" s="3" t="s">
        <v>211</v>
      </c>
      <c r="W23" s="3" t="s">
        <v>56</v>
      </c>
      <c r="X23" s="3" t="s">
        <v>394</v>
      </c>
      <c r="Y23" s="3" t="s">
        <v>56</v>
      </c>
      <c r="Z23" s="3" t="s">
        <v>222</v>
      </c>
      <c r="AA23" s="3" t="s">
        <v>56</v>
      </c>
      <c r="AB23" s="3" t="s">
        <v>259</v>
      </c>
      <c r="AC23" s="3" t="s">
        <v>56</v>
      </c>
      <c r="AD23" s="3" t="s">
        <v>279</v>
      </c>
      <c r="AE23" s="3" t="s">
        <v>56</v>
      </c>
      <c r="AF23" s="3" t="s">
        <v>946</v>
      </c>
      <c r="AG23" s="3" t="s">
        <v>56</v>
      </c>
      <c r="AH23" s="3" t="s">
        <v>947</v>
      </c>
      <c r="AI23" s="3" t="s">
        <v>56</v>
      </c>
      <c r="AJ23" s="3" t="s">
        <v>948</v>
      </c>
      <c r="AK23" s="3" t="s">
        <v>56</v>
      </c>
      <c r="AL23" s="3" t="s">
        <v>949</v>
      </c>
      <c r="AM23" s="3" t="s">
        <v>56</v>
      </c>
      <c r="AN23" s="3" t="s">
        <v>950</v>
      </c>
      <c r="AO23" s="3" t="s">
        <v>56</v>
      </c>
      <c r="AP23" s="3" t="s">
        <v>323</v>
      </c>
      <c r="AQ23" s="3" t="s">
        <v>56</v>
      </c>
      <c r="AR23" s="3" t="s">
        <v>951</v>
      </c>
      <c r="AS23" s="3" t="s">
        <v>56</v>
      </c>
      <c r="AT23" s="3" t="s">
        <v>431</v>
      </c>
      <c r="AU23" s="3" t="s">
        <v>56</v>
      </c>
      <c r="AV23" s="3" t="s">
        <v>952</v>
      </c>
      <c r="AW23" s="3" t="s">
        <v>56</v>
      </c>
      <c r="AX23" s="3" t="s">
        <v>244</v>
      </c>
      <c r="AY23" s="3" t="s">
        <v>56</v>
      </c>
      <c r="AZ23" s="3" t="s">
        <v>953</v>
      </c>
      <c r="BA23" s="3" t="s">
        <v>56</v>
      </c>
      <c r="BB23" s="3" t="s">
        <v>264</v>
      </c>
      <c r="BC23" s="3" t="s">
        <v>56</v>
      </c>
      <c r="BD23" s="3" t="s">
        <v>252</v>
      </c>
      <c r="BE23" s="3" t="s">
        <v>56</v>
      </c>
      <c r="BF23" s="3" t="s">
        <v>264</v>
      </c>
      <c r="BG23" s="3" t="s">
        <v>56</v>
      </c>
      <c r="BH23" s="3" t="s">
        <v>217</v>
      </c>
      <c r="BI23" s="3" t="s">
        <v>56</v>
      </c>
      <c r="BJ23" s="3" t="s">
        <v>275</v>
      </c>
      <c r="BK23" s="3" t="s">
        <v>56</v>
      </c>
      <c r="BL23" s="3" t="s">
        <v>289</v>
      </c>
      <c r="BM23" s="3" t="s">
        <v>56</v>
      </c>
      <c r="BN23" s="3" t="s">
        <v>229</v>
      </c>
      <c r="BO23" s="3" t="s">
        <v>56</v>
      </c>
      <c r="BP23" s="3" t="s">
        <v>649</v>
      </c>
      <c r="BQ23" s="3" t="s">
        <v>56</v>
      </c>
      <c r="BR23" s="3" t="s">
        <v>954</v>
      </c>
      <c r="BS23" s="3" t="s">
        <v>56</v>
      </c>
      <c r="BT23" s="3" t="s">
        <v>371</v>
      </c>
      <c r="BU23" s="3" t="s">
        <v>56</v>
      </c>
      <c r="BV23" s="3" t="s">
        <v>955</v>
      </c>
      <c r="BW23" s="3" t="s">
        <v>56</v>
      </c>
      <c r="BX23" s="3" t="s">
        <v>917</v>
      </c>
      <c r="BY23" s="3" t="s">
        <v>56</v>
      </c>
      <c r="BZ23" s="3" t="s">
        <v>956</v>
      </c>
      <c r="CA23" s="3" t="s">
        <v>56</v>
      </c>
      <c r="CB23" s="3" t="s">
        <v>584</v>
      </c>
      <c r="CC23" s="3" t="s">
        <v>56</v>
      </c>
      <c r="CD23" s="3" t="s">
        <v>957</v>
      </c>
      <c r="CE23" s="3" t="s">
        <v>56</v>
      </c>
      <c r="CF23" s="3" t="s">
        <v>234</v>
      </c>
      <c r="CG23" s="3" t="s">
        <v>56</v>
      </c>
      <c r="CH23" s="3" t="s">
        <v>344</v>
      </c>
    </row>
    <row r="24" spans="1:86" x14ac:dyDescent="0.55000000000000004">
      <c r="A24" s="3" t="s">
        <v>638</v>
      </c>
      <c r="B24" s="3" t="s">
        <v>639</v>
      </c>
      <c r="C24" s="3" t="s">
        <v>71</v>
      </c>
      <c r="D24" s="3" t="s">
        <v>68</v>
      </c>
      <c r="E24" s="3" t="s">
        <v>640</v>
      </c>
      <c r="F24" s="3" t="s">
        <v>732</v>
      </c>
      <c r="G24" s="3" t="s">
        <v>53</v>
      </c>
      <c r="H24" s="3" t="s">
        <v>58</v>
      </c>
      <c r="I24" s="3" t="s">
        <v>59</v>
      </c>
      <c r="J24" s="3" t="s">
        <v>63</v>
      </c>
      <c r="K24" s="3" t="s">
        <v>61</v>
      </c>
      <c r="L24" s="3" t="s">
        <v>68</v>
      </c>
      <c r="M24" s="3" t="s">
        <v>71</v>
      </c>
      <c r="N24" s="3" t="s">
        <v>75</v>
      </c>
      <c r="O24" s="3" t="s">
        <v>56</v>
      </c>
      <c r="P24" s="3" t="s">
        <v>249</v>
      </c>
      <c r="Q24" s="3" t="s">
        <v>56</v>
      </c>
      <c r="R24" s="3" t="s">
        <v>224</v>
      </c>
      <c r="S24" s="3" t="s">
        <v>56</v>
      </c>
      <c r="T24" s="3" t="s">
        <v>209</v>
      </c>
      <c r="U24" s="3" t="s">
        <v>56</v>
      </c>
      <c r="V24" s="3" t="s">
        <v>210</v>
      </c>
      <c r="W24" s="3" t="s">
        <v>56</v>
      </c>
      <c r="X24" s="3" t="s">
        <v>368</v>
      </c>
      <c r="Y24" s="3" t="s">
        <v>56</v>
      </c>
      <c r="Z24" s="3" t="s">
        <v>394</v>
      </c>
      <c r="AA24" s="3" t="s">
        <v>56</v>
      </c>
      <c r="AB24" s="3" t="s">
        <v>213</v>
      </c>
      <c r="AC24" s="3" t="s">
        <v>56</v>
      </c>
      <c r="AD24" s="3" t="s">
        <v>343</v>
      </c>
      <c r="AE24" s="3" t="s">
        <v>56</v>
      </c>
      <c r="AF24" s="3" t="s">
        <v>958</v>
      </c>
      <c r="AG24" s="3" t="s">
        <v>56</v>
      </c>
      <c r="AH24" s="3" t="s">
        <v>959</v>
      </c>
      <c r="AI24" s="3" t="s">
        <v>56</v>
      </c>
      <c r="AJ24" s="3" t="s">
        <v>960</v>
      </c>
      <c r="AK24" s="3" t="s">
        <v>56</v>
      </c>
      <c r="AL24" s="3" t="s">
        <v>961</v>
      </c>
      <c r="AM24" s="3" t="s">
        <v>56</v>
      </c>
      <c r="AN24" s="3" t="s">
        <v>440</v>
      </c>
      <c r="AO24" s="3" t="s">
        <v>56</v>
      </c>
      <c r="AP24" s="3" t="s">
        <v>347</v>
      </c>
      <c r="AQ24" s="3" t="s">
        <v>56</v>
      </c>
      <c r="AR24" s="3" t="s">
        <v>597</v>
      </c>
      <c r="AS24" s="3" t="s">
        <v>56</v>
      </c>
      <c r="AT24" s="3" t="s">
        <v>962</v>
      </c>
      <c r="AU24" s="3" t="s">
        <v>56</v>
      </c>
      <c r="AV24" s="3" t="s">
        <v>963</v>
      </c>
      <c r="AW24" s="3" t="s">
        <v>56</v>
      </c>
      <c r="AX24" s="3" t="s">
        <v>459</v>
      </c>
      <c r="AY24" s="3" t="s">
        <v>56</v>
      </c>
      <c r="AZ24" s="3" t="s">
        <v>669</v>
      </c>
      <c r="BA24" s="3" t="s">
        <v>56</v>
      </c>
      <c r="BB24" s="3" t="s">
        <v>245</v>
      </c>
      <c r="BC24" s="3" t="s">
        <v>56</v>
      </c>
      <c r="BD24" s="3" t="s">
        <v>252</v>
      </c>
      <c r="BE24" s="3" t="s">
        <v>56</v>
      </c>
      <c r="BF24" s="3" t="s">
        <v>226</v>
      </c>
      <c r="BG24" s="3" t="s">
        <v>56</v>
      </c>
      <c r="BH24" s="3" t="s">
        <v>245</v>
      </c>
      <c r="BI24" s="3" t="s">
        <v>56</v>
      </c>
      <c r="BJ24" s="3" t="s">
        <v>227</v>
      </c>
      <c r="BK24" s="3" t="s">
        <v>56</v>
      </c>
      <c r="BL24" s="3" t="s">
        <v>228</v>
      </c>
      <c r="BM24" s="3" t="s">
        <v>56</v>
      </c>
      <c r="BN24" s="3" t="s">
        <v>229</v>
      </c>
      <c r="BO24" s="3" t="s">
        <v>56</v>
      </c>
      <c r="BP24" s="3" t="s">
        <v>964</v>
      </c>
      <c r="BQ24" s="3" t="s">
        <v>56</v>
      </c>
      <c r="BR24" s="3" t="s">
        <v>611</v>
      </c>
      <c r="BS24" s="3" t="s">
        <v>56</v>
      </c>
      <c r="BT24" s="3" t="s">
        <v>239</v>
      </c>
      <c r="BU24" s="3" t="s">
        <v>56</v>
      </c>
      <c r="BV24" s="3" t="s">
        <v>672</v>
      </c>
      <c r="BW24" s="3" t="s">
        <v>56</v>
      </c>
      <c r="BX24" s="3" t="s">
        <v>315</v>
      </c>
      <c r="BY24" s="3" t="s">
        <v>56</v>
      </c>
      <c r="BZ24" s="3" t="s">
        <v>864</v>
      </c>
      <c r="CA24" s="3" t="s">
        <v>56</v>
      </c>
      <c r="CB24" s="3" t="s">
        <v>737</v>
      </c>
      <c r="CC24" s="3" t="s">
        <v>56</v>
      </c>
      <c r="CD24" s="3" t="s">
        <v>472</v>
      </c>
      <c r="CE24" s="3" t="s">
        <v>56</v>
      </c>
      <c r="CF24" s="3" t="s">
        <v>415</v>
      </c>
      <c r="CG24" s="3" t="s">
        <v>56</v>
      </c>
      <c r="CH24" s="3" t="s">
        <v>314</v>
      </c>
    </row>
    <row r="25" spans="1:86" x14ac:dyDescent="0.55000000000000004">
      <c r="A25" s="3" t="s">
        <v>644</v>
      </c>
      <c r="B25" s="3" t="s">
        <v>645</v>
      </c>
      <c r="C25" s="3" t="s">
        <v>84</v>
      </c>
      <c r="D25" s="3" t="s">
        <v>68</v>
      </c>
      <c r="E25" s="3" t="s">
        <v>65</v>
      </c>
      <c r="F25" s="3" t="s">
        <v>876</v>
      </c>
      <c r="G25" s="3" t="s">
        <v>53</v>
      </c>
      <c r="H25" s="3" t="s">
        <v>80</v>
      </c>
      <c r="I25" s="3" t="s">
        <v>59</v>
      </c>
      <c r="J25" s="3" t="s">
        <v>81</v>
      </c>
      <c r="K25" s="3" t="s">
        <v>82</v>
      </c>
      <c r="L25" s="3" t="s">
        <v>68</v>
      </c>
      <c r="M25" s="3" t="s">
        <v>84</v>
      </c>
      <c r="N25" s="3" t="s">
        <v>87</v>
      </c>
      <c r="O25" s="3" t="s">
        <v>56</v>
      </c>
      <c r="P25" s="3" t="s">
        <v>224</v>
      </c>
      <c r="Q25" s="3" t="s">
        <v>56</v>
      </c>
      <c r="R25" s="3" t="s">
        <v>209</v>
      </c>
      <c r="S25" s="3" t="s">
        <v>56</v>
      </c>
      <c r="T25" s="3" t="s">
        <v>210</v>
      </c>
      <c r="U25" s="3" t="s">
        <v>56</v>
      </c>
      <c r="V25" s="3" t="s">
        <v>211</v>
      </c>
      <c r="W25" s="3" t="s">
        <v>56</v>
      </c>
      <c r="X25" s="3" t="s">
        <v>394</v>
      </c>
      <c r="Y25" s="3" t="s">
        <v>56</v>
      </c>
      <c r="Z25" s="3" t="s">
        <v>259</v>
      </c>
      <c r="AA25" s="3" t="s">
        <v>56</v>
      </c>
      <c r="AB25" s="3" t="s">
        <v>343</v>
      </c>
      <c r="AC25" s="3" t="s">
        <v>56</v>
      </c>
      <c r="AD25" s="3" t="s">
        <v>243</v>
      </c>
      <c r="AE25" s="3" t="s">
        <v>56</v>
      </c>
      <c r="AF25" s="3" t="s">
        <v>965</v>
      </c>
      <c r="AG25" s="3" t="s">
        <v>56</v>
      </c>
      <c r="AH25" s="3" t="s">
        <v>966</v>
      </c>
      <c r="AI25" s="3" t="s">
        <v>56</v>
      </c>
      <c r="AJ25" s="3" t="s">
        <v>967</v>
      </c>
      <c r="AK25" s="3" t="s">
        <v>56</v>
      </c>
      <c r="AL25" s="3" t="s">
        <v>968</v>
      </c>
      <c r="AM25" s="3" t="s">
        <v>56</v>
      </c>
      <c r="AN25" s="3" t="s">
        <v>969</v>
      </c>
      <c r="AO25" s="3" t="s">
        <v>56</v>
      </c>
      <c r="AP25" s="3" t="s">
        <v>486</v>
      </c>
      <c r="AQ25" s="3" t="s">
        <v>56</v>
      </c>
      <c r="AR25" s="3" t="s">
        <v>380</v>
      </c>
      <c r="AS25" s="3" t="s">
        <v>56</v>
      </c>
      <c r="AT25" s="3" t="s">
        <v>355</v>
      </c>
      <c r="AU25" s="3" t="s">
        <v>56</v>
      </c>
      <c r="AV25" s="3" t="s">
        <v>970</v>
      </c>
      <c r="AW25" s="3" t="s">
        <v>56</v>
      </c>
      <c r="AX25" s="3" t="s">
        <v>657</v>
      </c>
      <c r="AY25" s="3" t="s">
        <v>56</v>
      </c>
      <c r="AZ25" s="3" t="s">
        <v>971</v>
      </c>
      <c r="BA25" s="3" t="s">
        <v>56</v>
      </c>
      <c r="BB25" s="3" t="s">
        <v>226</v>
      </c>
      <c r="BC25" s="3" t="s">
        <v>56</v>
      </c>
      <c r="BD25" s="3" t="s">
        <v>237</v>
      </c>
      <c r="BE25" s="3" t="s">
        <v>56</v>
      </c>
      <c r="BF25" s="3" t="s">
        <v>218</v>
      </c>
      <c r="BG25" s="3" t="s">
        <v>56</v>
      </c>
      <c r="BH25" s="3" t="s">
        <v>252</v>
      </c>
      <c r="BI25" s="3" t="s">
        <v>56</v>
      </c>
      <c r="BJ25" s="3" t="s">
        <v>219</v>
      </c>
      <c r="BK25" s="3" t="s">
        <v>56</v>
      </c>
      <c r="BL25" s="3" t="s">
        <v>220</v>
      </c>
      <c r="BM25" s="3" t="s">
        <v>56</v>
      </c>
      <c r="BN25" s="3" t="s">
        <v>231</v>
      </c>
      <c r="BO25" s="3" t="s">
        <v>56</v>
      </c>
      <c r="BP25" s="3" t="s">
        <v>972</v>
      </c>
      <c r="BQ25" s="3" t="s">
        <v>56</v>
      </c>
      <c r="BR25" s="3" t="s">
        <v>973</v>
      </c>
      <c r="BS25" s="3" t="s">
        <v>56</v>
      </c>
      <c r="BT25" s="3" t="s">
        <v>271</v>
      </c>
      <c r="BU25" s="3" t="s">
        <v>56</v>
      </c>
      <c r="BV25" s="3" t="s">
        <v>974</v>
      </c>
      <c r="BW25" s="3" t="s">
        <v>56</v>
      </c>
      <c r="BX25" s="3" t="s">
        <v>975</v>
      </c>
      <c r="BY25" s="3" t="s">
        <v>56</v>
      </c>
      <c r="BZ25" s="3" t="s">
        <v>702</v>
      </c>
      <c r="CA25" s="3" t="s">
        <v>56</v>
      </c>
      <c r="CB25" s="3" t="s">
        <v>301</v>
      </c>
      <c r="CC25" s="3" t="s">
        <v>56</v>
      </c>
      <c r="CD25" s="3" t="s">
        <v>976</v>
      </c>
      <c r="CE25" s="3" t="s">
        <v>56</v>
      </c>
      <c r="CF25" s="3" t="s">
        <v>387</v>
      </c>
      <c r="CG25" s="3" t="s">
        <v>56</v>
      </c>
      <c r="CH25" s="3" t="s">
        <v>420</v>
      </c>
    </row>
    <row r="26" spans="1:86" x14ac:dyDescent="0.55000000000000004">
      <c r="A26" s="3" t="s">
        <v>977</v>
      </c>
      <c r="B26" s="3" t="s">
        <v>978</v>
      </c>
      <c r="C26" s="3" t="s">
        <v>88</v>
      </c>
      <c r="D26" s="3" t="s">
        <v>55</v>
      </c>
      <c r="E26" s="3" t="s">
        <v>979</v>
      </c>
      <c r="F26" s="3" t="s">
        <v>720</v>
      </c>
      <c r="G26" s="3" t="s">
        <v>53</v>
      </c>
      <c r="H26" s="3" t="s">
        <v>58</v>
      </c>
      <c r="I26" s="3" t="s">
        <v>59</v>
      </c>
      <c r="J26" s="3" t="s">
        <v>60</v>
      </c>
      <c r="K26" s="3" t="s">
        <v>77</v>
      </c>
      <c r="L26" s="3" t="s">
        <v>55</v>
      </c>
      <c r="M26" s="3" t="s">
        <v>88</v>
      </c>
      <c r="N26" s="3" t="s">
        <v>72</v>
      </c>
      <c r="O26" s="3" t="s">
        <v>56</v>
      </c>
      <c r="P26" s="3" t="s">
        <v>249</v>
      </c>
      <c r="Q26" s="3" t="s">
        <v>56</v>
      </c>
      <c r="R26" s="3" t="s">
        <v>224</v>
      </c>
      <c r="S26" s="3" t="s">
        <v>56</v>
      </c>
      <c r="T26" s="3" t="s">
        <v>209</v>
      </c>
      <c r="U26" s="3" t="s">
        <v>56</v>
      </c>
      <c r="V26" s="3" t="s">
        <v>210</v>
      </c>
      <c r="W26" s="3" t="s">
        <v>56</v>
      </c>
      <c r="X26" s="3" t="s">
        <v>262</v>
      </c>
      <c r="Y26" s="3" t="s">
        <v>56</v>
      </c>
      <c r="Z26" s="3" t="s">
        <v>313</v>
      </c>
      <c r="AA26" s="3" t="s">
        <v>56</v>
      </c>
      <c r="AB26" s="3" t="s">
        <v>250</v>
      </c>
      <c r="AC26" s="3" t="s">
        <v>56</v>
      </c>
      <c r="AD26" s="3" t="s">
        <v>277</v>
      </c>
      <c r="AE26" s="3" t="s">
        <v>56</v>
      </c>
      <c r="AF26" s="3" t="s">
        <v>980</v>
      </c>
      <c r="AG26" s="3" t="s">
        <v>56</v>
      </c>
      <c r="AH26" s="3" t="s">
        <v>981</v>
      </c>
      <c r="AI26" s="3" t="s">
        <v>56</v>
      </c>
      <c r="AJ26" s="3" t="s">
        <v>982</v>
      </c>
      <c r="AK26" s="3" t="s">
        <v>56</v>
      </c>
      <c r="AL26" s="3" t="s">
        <v>983</v>
      </c>
      <c r="AM26" s="3" t="s">
        <v>56</v>
      </c>
      <c r="AN26" s="3" t="s">
        <v>984</v>
      </c>
      <c r="AO26" s="3" t="s">
        <v>56</v>
      </c>
      <c r="AP26" s="3" t="s">
        <v>347</v>
      </c>
      <c r="AQ26" s="3" t="s">
        <v>56</v>
      </c>
      <c r="AR26" s="3" t="s">
        <v>401</v>
      </c>
      <c r="AS26" s="3" t="s">
        <v>56</v>
      </c>
      <c r="AT26" s="3" t="s">
        <v>339</v>
      </c>
      <c r="AU26" s="3" t="s">
        <v>56</v>
      </c>
      <c r="AV26" s="3" t="s">
        <v>616</v>
      </c>
      <c r="AW26" s="3" t="s">
        <v>56</v>
      </c>
      <c r="AX26" s="3" t="s">
        <v>236</v>
      </c>
      <c r="AY26" s="3" t="s">
        <v>56</v>
      </c>
      <c r="AZ26" s="3" t="s">
        <v>985</v>
      </c>
      <c r="BA26" s="3" t="s">
        <v>56</v>
      </c>
      <c r="BB26" s="3" t="s">
        <v>217</v>
      </c>
      <c r="BC26" s="3" t="s">
        <v>56</v>
      </c>
      <c r="BD26" s="3" t="s">
        <v>237</v>
      </c>
      <c r="BE26" s="3" t="s">
        <v>56</v>
      </c>
      <c r="BF26" s="3" t="s">
        <v>218</v>
      </c>
      <c r="BG26" s="3" t="s">
        <v>56</v>
      </c>
      <c r="BH26" s="3" t="s">
        <v>218</v>
      </c>
      <c r="BI26" s="3" t="s">
        <v>56</v>
      </c>
      <c r="BJ26" s="3" t="s">
        <v>227</v>
      </c>
      <c r="BK26" s="3" t="s">
        <v>56</v>
      </c>
      <c r="BL26" s="3" t="s">
        <v>228</v>
      </c>
      <c r="BM26" s="3" t="s">
        <v>56</v>
      </c>
      <c r="BN26" s="3" t="s">
        <v>256</v>
      </c>
      <c r="BO26" s="3" t="s">
        <v>56</v>
      </c>
      <c r="BP26" s="3" t="s">
        <v>986</v>
      </c>
      <c r="BQ26" s="3" t="s">
        <v>56</v>
      </c>
      <c r="BR26" s="3" t="s">
        <v>987</v>
      </c>
      <c r="BS26" s="3" t="s">
        <v>56</v>
      </c>
      <c r="BT26" s="3" t="s">
        <v>358</v>
      </c>
      <c r="BU26" s="3" t="s">
        <v>56</v>
      </c>
      <c r="BV26" s="3" t="s">
        <v>305</v>
      </c>
      <c r="BW26" s="3" t="s">
        <v>56</v>
      </c>
      <c r="BX26" s="3" t="s">
        <v>467</v>
      </c>
      <c r="BY26" s="3" t="s">
        <v>56</v>
      </c>
      <c r="BZ26" s="3" t="s">
        <v>988</v>
      </c>
      <c r="CA26" s="3" t="s">
        <v>56</v>
      </c>
      <c r="CB26" s="3" t="s">
        <v>631</v>
      </c>
      <c r="CC26" s="3" t="s">
        <v>56</v>
      </c>
      <c r="CD26" s="3" t="s">
        <v>989</v>
      </c>
      <c r="CE26" s="3" t="s">
        <v>56</v>
      </c>
      <c r="CF26" s="3" t="s">
        <v>337</v>
      </c>
      <c r="CG26" s="3" t="s">
        <v>56</v>
      </c>
      <c r="CH26" s="3" t="s">
        <v>290</v>
      </c>
    </row>
    <row r="27" spans="1:86" x14ac:dyDescent="0.55000000000000004">
      <c r="A27" s="3" t="s">
        <v>359</v>
      </c>
      <c r="B27" s="3" t="s">
        <v>360</v>
      </c>
      <c r="C27" s="3" t="s">
        <v>71</v>
      </c>
      <c r="D27" s="3" t="s">
        <v>55</v>
      </c>
      <c r="E27" s="3" t="s">
        <v>76</v>
      </c>
      <c r="F27" s="3" t="s">
        <v>903</v>
      </c>
      <c r="G27" s="3" t="s">
        <v>53</v>
      </c>
      <c r="H27" s="3" t="s">
        <v>58</v>
      </c>
      <c r="I27" s="3" t="s">
        <v>59</v>
      </c>
      <c r="J27" s="3" t="s">
        <v>60</v>
      </c>
      <c r="K27" s="3" t="s">
        <v>77</v>
      </c>
      <c r="L27" s="3" t="s">
        <v>55</v>
      </c>
      <c r="M27" s="3" t="s">
        <v>71</v>
      </c>
      <c r="N27" s="3" t="s">
        <v>75</v>
      </c>
      <c r="O27" s="3" t="s">
        <v>56</v>
      </c>
      <c r="P27" s="3" t="s">
        <v>249</v>
      </c>
      <c r="Q27" s="3" t="s">
        <v>56</v>
      </c>
      <c r="R27" s="3" t="s">
        <v>224</v>
      </c>
      <c r="S27" s="3" t="s">
        <v>56</v>
      </c>
      <c r="T27" s="3" t="s">
        <v>209</v>
      </c>
      <c r="U27" s="3" t="s">
        <v>56</v>
      </c>
      <c r="V27" s="3" t="s">
        <v>210</v>
      </c>
      <c r="W27" s="3" t="s">
        <v>56</v>
      </c>
      <c r="X27" s="3" t="s">
        <v>308</v>
      </c>
      <c r="Y27" s="3" t="s">
        <v>56</v>
      </c>
      <c r="Z27" s="3" t="s">
        <v>259</v>
      </c>
      <c r="AA27" s="3" t="s">
        <v>56</v>
      </c>
      <c r="AB27" s="3" t="s">
        <v>243</v>
      </c>
      <c r="AC27" s="3" t="s">
        <v>56</v>
      </c>
      <c r="AD27" s="3" t="s">
        <v>395</v>
      </c>
      <c r="AE27" s="3" t="s">
        <v>56</v>
      </c>
      <c r="AF27" s="3" t="s">
        <v>990</v>
      </c>
      <c r="AG27" s="3" t="s">
        <v>56</v>
      </c>
      <c r="AH27" s="3" t="s">
        <v>991</v>
      </c>
      <c r="AI27" s="3" t="s">
        <v>56</v>
      </c>
      <c r="AJ27" s="3" t="s">
        <v>992</v>
      </c>
      <c r="AK27" s="3" t="s">
        <v>56</v>
      </c>
      <c r="AL27" s="3" t="s">
        <v>993</v>
      </c>
      <c r="AM27" s="3" t="s">
        <v>56</v>
      </c>
      <c r="AN27" s="3" t="s">
        <v>814</v>
      </c>
      <c r="AO27" s="3" t="s">
        <v>56</v>
      </c>
      <c r="AP27" s="3" t="s">
        <v>448</v>
      </c>
      <c r="AQ27" s="3" t="s">
        <v>56</v>
      </c>
      <c r="AR27" s="3" t="s">
        <v>831</v>
      </c>
      <c r="AS27" s="3" t="s">
        <v>56</v>
      </c>
      <c r="AT27" s="3" t="s">
        <v>225</v>
      </c>
      <c r="AU27" s="3" t="s">
        <v>56</v>
      </c>
      <c r="AV27" s="3" t="s">
        <v>994</v>
      </c>
      <c r="AW27" s="3" t="s">
        <v>56</v>
      </c>
      <c r="AX27" s="3" t="s">
        <v>312</v>
      </c>
      <c r="AY27" s="3" t="s">
        <v>56</v>
      </c>
      <c r="AZ27" s="3" t="s">
        <v>995</v>
      </c>
      <c r="BA27" s="3" t="s">
        <v>56</v>
      </c>
      <c r="BB27" s="3" t="s">
        <v>264</v>
      </c>
      <c r="BC27" s="3" t="s">
        <v>56</v>
      </c>
      <c r="BD27" s="3" t="s">
        <v>237</v>
      </c>
      <c r="BE27" s="3" t="s">
        <v>56</v>
      </c>
      <c r="BF27" s="3" t="s">
        <v>270</v>
      </c>
      <c r="BG27" s="3" t="s">
        <v>56</v>
      </c>
      <c r="BH27" s="3" t="s">
        <v>226</v>
      </c>
      <c r="BI27" s="3" t="s">
        <v>56</v>
      </c>
      <c r="BJ27" s="3" t="s">
        <v>283</v>
      </c>
      <c r="BK27" s="3" t="s">
        <v>56</v>
      </c>
      <c r="BL27" s="3" t="s">
        <v>284</v>
      </c>
      <c r="BM27" s="3" t="s">
        <v>56</v>
      </c>
      <c r="BN27" s="3" t="s">
        <v>221</v>
      </c>
      <c r="BO27" s="3" t="s">
        <v>56</v>
      </c>
      <c r="BP27" s="3" t="s">
        <v>996</v>
      </c>
      <c r="BQ27" s="3" t="s">
        <v>56</v>
      </c>
      <c r="BR27" s="3" t="s">
        <v>997</v>
      </c>
      <c r="BS27" s="3" t="s">
        <v>56</v>
      </c>
      <c r="BT27" s="3" t="s">
        <v>418</v>
      </c>
      <c r="BU27" s="3" t="s">
        <v>56</v>
      </c>
      <c r="BV27" s="3" t="s">
        <v>627</v>
      </c>
      <c r="BW27" s="3" t="s">
        <v>56</v>
      </c>
      <c r="BX27" s="3" t="s">
        <v>320</v>
      </c>
      <c r="BY27" s="3" t="s">
        <v>56</v>
      </c>
      <c r="BZ27" s="3" t="s">
        <v>998</v>
      </c>
      <c r="CA27" s="3" t="s">
        <v>56</v>
      </c>
      <c r="CB27" s="3" t="s">
        <v>401</v>
      </c>
      <c r="CC27" s="3" t="s">
        <v>56</v>
      </c>
      <c r="CD27" s="3" t="s">
        <v>585</v>
      </c>
      <c r="CE27" s="3" t="s">
        <v>56</v>
      </c>
      <c r="CF27" s="3" t="s">
        <v>286</v>
      </c>
      <c r="CG27" s="3" t="s">
        <v>56</v>
      </c>
      <c r="CH27" s="3" t="s">
        <v>290</v>
      </c>
    </row>
    <row r="28" spans="1:86" x14ac:dyDescent="0.55000000000000004">
      <c r="A28" s="3" t="s">
        <v>90</v>
      </c>
      <c r="B28" s="3" t="s">
        <v>91</v>
      </c>
      <c r="C28" s="3" t="s">
        <v>54</v>
      </c>
      <c r="D28" s="3" t="s">
        <v>55</v>
      </c>
      <c r="E28" s="3" t="s">
        <v>78</v>
      </c>
      <c r="F28" s="3" t="s">
        <v>777</v>
      </c>
      <c r="G28" s="3" t="s">
        <v>53</v>
      </c>
      <c r="H28" s="3" t="s">
        <v>58</v>
      </c>
      <c r="I28" s="3" t="s">
        <v>59</v>
      </c>
      <c r="J28" s="3" t="s">
        <v>81</v>
      </c>
      <c r="K28" s="3" t="s">
        <v>82</v>
      </c>
      <c r="L28" s="3" t="s">
        <v>55</v>
      </c>
      <c r="M28" s="3" t="s">
        <v>54</v>
      </c>
      <c r="N28" s="3" t="s">
        <v>62</v>
      </c>
      <c r="O28" s="3" t="s">
        <v>56</v>
      </c>
      <c r="P28" s="3" t="s">
        <v>224</v>
      </c>
      <c r="Q28" s="3" t="s">
        <v>56</v>
      </c>
      <c r="R28" s="3" t="s">
        <v>209</v>
      </c>
      <c r="S28" s="3" t="s">
        <v>56</v>
      </c>
      <c r="T28" s="3" t="s">
        <v>210</v>
      </c>
      <c r="U28" s="3" t="s">
        <v>56</v>
      </c>
      <c r="V28" s="3" t="s">
        <v>211</v>
      </c>
      <c r="W28" s="3" t="s">
        <v>56</v>
      </c>
      <c r="X28" s="3" t="s">
        <v>232</v>
      </c>
      <c r="Y28" s="3" t="s">
        <v>56</v>
      </c>
      <c r="Z28" s="3" t="s">
        <v>302</v>
      </c>
      <c r="AA28" s="3" t="s">
        <v>56</v>
      </c>
      <c r="AB28" s="3" t="s">
        <v>294</v>
      </c>
      <c r="AC28" s="3" t="s">
        <v>56</v>
      </c>
      <c r="AD28" s="3" t="s">
        <v>398</v>
      </c>
      <c r="AE28" s="3" t="s">
        <v>56</v>
      </c>
      <c r="AF28" s="3" t="s">
        <v>697</v>
      </c>
      <c r="AG28" s="3" t="s">
        <v>56</v>
      </c>
      <c r="AH28" s="3" t="s">
        <v>999</v>
      </c>
      <c r="AI28" s="3" t="s">
        <v>56</v>
      </c>
      <c r="AJ28" s="3" t="s">
        <v>1000</v>
      </c>
      <c r="AK28" s="3" t="s">
        <v>56</v>
      </c>
      <c r="AL28" s="3" t="s">
        <v>1001</v>
      </c>
      <c r="AM28" s="3" t="s">
        <v>56</v>
      </c>
      <c r="AN28" s="3" t="s">
        <v>1002</v>
      </c>
      <c r="AO28" s="3" t="s">
        <v>56</v>
      </c>
      <c r="AP28" s="3" t="s">
        <v>235</v>
      </c>
      <c r="AQ28" s="3" t="s">
        <v>56</v>
      </c>
      <c r="AR28" s="3" t="s">
        <v>354</v>
      </c>
      <c r="AS28" s="3" t="s">
        <v>56</v>
      </c>
      <c r="AT28" s="3" t="s">
        <v>355</v>
      </c>
      <c r="AU28" s="3" t="s">
        <v>56</v>
      </c>
      <c r="AV28" s="3" t="s">
        <v>1003</v>
      </c>
      <c r="AW28" s="3" t="s">
        <v>56</v>
      </c>
      <c r="AX28" s="3" t="s">
        <v>356</v>
      </c>
      <c r="AY28" s="3" t="s">
        <v>56</v>
      </c>
      <c r="AZ28" s="3" t="s">
        <v>882</v>
      </c>
      <c r="BA28" s="3" t="s">
        <v>56</v>
      </c>
      <c r="BB28" s="3" t="s">
        <v>245</v>
      </c>
      <c r="BC28" s="3" t="s">
        <v>56</v>
      </c>
      <c r="BD28" s="3" t="s">
        <v>252</v>
      </c>
      <c r="BE28" s="3" t="s">
        <v>56</v>
      </c>
      <c r="BF28" s="3" t="s">
        <v>264</v>
      </c>
      <c r="BG28" s="3" t="s">
        <v>56</v>
      </c>
      <c r="BH28" s="3" t="s">
        <v>218</v>
      </c>
      <c r="BI28" s="3" t="s">
        <v>56</v>
      </c>
      <c r="BJ28" s="3" t="s">
        <v>227</v>
      </c>
      <c r="BK28" s="3" t="s">
        <v>56</v>
      </c>
      <c r="BL28" s="3" t="s">
        <v>228</v>
      </c>
      <c r="BM28" s="3" t="s">
        <v>56</v>
      </c>
      <c r="BN28" s="3" t="s">
        <v>256</v>
      </c>
      <c r="BO28" s="3" t="s">
        <v>56</v>
      </c>
      <c r="BP28" s="3" t="s">
        <v>1004</v>
      </c>
      <c r="BQ28" s="3" t="s">
        <v>56</v>
      </c>
      <c r="BR28" s="3" t="s">
        <v>648</v>
      </c>
      <c r="BS28" s="3" t="s">
        <v>56</v>
      </c>
      <c r="BT28" s="3" t="s">
        <v>306</v>
      </c>
      <c r="BU28" s="3" t="s">
        <v>56</v>
      </c>
      <c r="BV28" s="3" t="s">
        <v>296</v>
      </c>
      <c r="BW28" s="3" t="s">
        <v>56</v>
      </c>
      <c r="BX28" s="3" t="s">
        <v>1005</v>
      </c>
      <c r="BY28" s="3" t="s">
        <v>56</v>
      </c>
      <c r="BZ28" s="3" t="s">
        <v>680</v>
      </c>
      <c r="CA28" s="3" t="s">
        <v>56</v>
      </c>
      <c r="CB28" s="3" t="s">
        <v>729</v>
      </c>
      <c r="CC28" s="3" t="s">
        <v>56</v>
      </c>
      <c r="CD28" s="3" t="s">
        <v>431</v>
      </c>
      <c r="CE28" s="3" t="s">
        <v>56</v>
      </c>
      <c r="CF28" s="3" t="s">
        <v>786</v>
      </c>
      <c r="CG28" s="3" t="s">
        <v>56</v>
      </c>
      <c r="CH28" s="3" t="s">
        <v>231</v>
      </c>
    </row>
    <row r="29" spans="1:86" x14ac:dyDescent="0.55000000000000004">
      <c r="A29" s="3" t="s">
        <v>92</v>
      </c>
      <c r="B29" s="3" t="s">
        <v>93</v>
      </c>
      <c r="C29" s="3" t="s">
        <v>79</v>
      </c>
      <c r="D29" s="3" t="s">
        <v>55</v>
      </c>
      <c r="E29" s="3" t="s">
        <v>78</v>
      </c>
      <c r="F29" s="3" t="s">
        <v>777</v>
      </c>
      <c r="G29" s="3" t="s">
        <v>53</v>
      </c>
      <c r="H29" s="3" t="s">
        <v>80</v>
      </c>
      <c r="I29" s="3" t="s">
        <v>59</v>
      </c>
      <c r="J29" s="3" t="s">
        <v>81</v>
      </c>
      <c r="K29" s="3" t="s">
        <v>82</v>
      </c>
      <c r="L29" s="3" t="s">
        <v>55</v>
      </c>
      <c r="M29" s="3" t="s">
        <v>79</v>
      </c>
      <c r="N29" s="3" t="s">
        <v>83</v>
      </c>
      <c r="O29" s="3" t="s">
        <v>56</v>
      </c>
      <c r="P29" s="3" t="s">
        <v>209</v>
      </c>
      <c r="Q29" s="3" t="s">
        <v>56</v>
      </c>
      <c r="R29" s="3" t="s">
        <v>210</v>
      </c>
      <c r="S29" s="3" t="s">
        <v>56</v>
      </c>
      <c r="T29" s="3" t="s">
        <v>211</v>
      </c>
      <c r="U29" s="3" t="s">
        <v>56</v>
      </c>
      <c r="V29" s="3" t="s">
        <v>212</v>
      </c>
      <c r="W29" s="3" t="s">
        <v>56</v>
      </c>
      <c r="X29" s="3" t="s">
        <v>415</v>
      </c>
      <c r="Y29" s="3" t="s">
        <v>56</v>
      </c>
      <c r="Z29" s="3" t="s">
        <v>485</v>
      </c>
      <c r="AA29" s="3" t="s">
        <v>56</v>
      </c>
      <c r="AB29" s="3" t="s">
        <v>302</v>
      </c>
      <c r="AC29" s="3" t="s">
        <v>56</v>
      </c>
      <c r="AD29" s="3" t="s">
        <v>302</v>
      </c>
      <c r="AE29" s="3" t="s">
        <v>56</v>
      </c>
      <c r="AF29" s="3" t="s">
        <v>1006</v>
      </c>
      <c r="AG29" s="3" t="s">
        <v>56</v>
      </c>
      <c r="AH29" s="3" t="s">
        <v>1007</v>
      </c>
      <c r="AI29" s="3" t="s">
        <v>56</v>
      </c>
      <c r="AJ29" s="3" t="s">
        <v>1008</v>
      </c>
      <c r="AK29" s="3" t="s">
        <v>56</v>
      </c>
      <c r="AL29" s="3" t="s">
        <v>1009</v>
      </c>
      <c r="AM29" s="3" t="s">
        <v>56</v>
      </c>
      <c r="AN29" s="3" t="s">
        <v>1010</v>
      </c>
      <c r="AO29" s="3" t="s">
        <v>56</v>
      </c>
      <c r="AP29" s="3" t="s">
        <v>865</v>
      </c>
      <c r="AQ29" s="3" t="s">
        <v>56</v>
      </c>
      <c r="AR29" s="3" t="s">
        <v>584</v>
      </c>
      <c r="AS29" s="3" t="s">
        <v>56</v>
      </c>
      <c r="AT29" s="3" t="s">
        <v>355</v>
      </c>
      <c r="AU29" s="3" t="s">
        <v>56</v>
      </c>
      <c r="AV29" s="3" t="s">
        <v>1011</v>
      </c>
      <c r="AW29" s="3" t="s">
        <v>56</v>
      </c>
      <c r="AX29" s="3" t="s">
        <v>407</v>
      </c>
      <c r="AY29" s="3" t="s">
        <v>56</v>
      </c>
      <c r="AZ29" s="3" t="s">
        <v>1012</v>
      </c>
      <c r="BA29" s="3" t="s">
        <v>56</v>
      </c>
      <c r="BB29" s="3" t="s">
        <v>264</v>
      </c>
      <c r="BC29" s="3" t="s">
        <v>56</v>
      </c>
      <c r="BD29" s="3" t="s">
        <v>237</v>
      </c>
      <c r="BE29" s="3" t="s">
        <v>56</v>
      </c>
      <c r="BF29" s="3" t="s">
        <v>252</v>
      </c>
      <c r="BG29" s="3" t="s">
        <v>56</v>
      </c>
      <c r="BH29" s="3" t="s">
        <v>226</v>
      </c>
      <c r="BI29" s="3" t="s">
        <v>56</v>
      </c>
      <c r="BJ29" s="3" t="s">
        <v>275</v>
      </c>
      <c r="BK29" s="3" t="s">
        <v>56</v>
      </c>
      <c r="BL29" s="3" t="s">
        <v>289</v>
      </c>
      <c r="BM29" s="3" t="s">
        <v>56</v>
      </c>
      <c r="BN29" s="3" t="s">
        <v>238</v>
      </c>
      <c r="BO29" s="3" t="s">
        <v>56</v>
      </c>
      <c r="BP29" s="3" t="s">
        <v>1013</v>
      </c>
      <c r="BQ29" s="3" t="s">
        <v>56</v>
      </c>
      <c r="BR29" s="3" t="s">
        <v>1014</v>
      </c>
      <c r="BS29" s="3" t="s">
        <v>56</v>
      </c>
      <c r="BT29" s="3" t="s">
        <v>247</v>
      </c>
      <c r="BU29" s="3" t="s">
        <v>56</v>
      </c>
      <c r="BV29" s="3" t="s">
        <v>1015</v>
      </c>
      <c r="BW29" s="3" t="s">
        <v>56</v>
      </c>
      <c r="BX29" s="3" t="s">
        <v>1016</v>
      </c>
      <c r="BY29" s="3" t="s">
        <v>56</v>
      </c>
      <c r="BZ29" s="3" t="s">
        <v>1017</v>
      </c>
      <c r="CA29" s="3" t="s">
        <v>56</v>
      </c>
      <c r="CB29" s="3" t="s">
        <v>604</v>
      </c>
      <c r="CC29" s="3" t="s">
        <v>56</v>
      </c>
      <c r="CD29" s="3" t="s">
        <v>1018</v>
      </c>
      <c r="CE29" s="3" t="s">
        <v>56</v>
      </c>
      <c r="CF29" s="3" t="s">
        <v>888</v>
      </c>
      <c r="CG29" s="3" t="s">
        <v>56</v>
      </c>
      <c r="CH29" s="3" t="s">
        <v>220</v>
      </c>
    </row>
    <row r="30" spans="1:86" x14ac:dyDescent="0.55000000000000004">
      <c r="A30" s="3" t="s">
        <v>650</v>
      </c>
      <c r="B30" s="3" t="s">
        <v>651</v>
      </c>
      <c r="C30" s="3" t="s">
        <v>54</v>
      </c>
      <c r="D30" s="3" t="s">
        <v>68</v>
      </c>
      <c r="E30" s="3" t="s">
        <v>94</v>
      </c>
      <c r="F30" s="3" t="s">
        <v>876</v>
      </c>
      <c r="G30" s="3" t="s">
        <v>53</v>
      </c>
      <c r="H30" s="3" t="s">
        <v>58</v>
      </c>
      <c r="I30" s="3" t="s">
        <v>59</v>
      </c>
      <c r="J30" s="3" t="s">
        <v>60</v>
      </c>
      <c r="K30" s="3" t="s">
        <v>77</v>
      </c>
      <c r="L30" s="3" t="s">
        <v>68</v>
      </c>
      <c r="M30" s="3" t="s">
        <v>54</v>
      </c>
      <c r="N30" s="3" t="s">
        <v>62</v>
      </c>
      <c r="O30" s="3" t="s">
        <v>56</v>
      </c>
      <c r="P30" s="3" t="s">
        <v>224</v>
      </c>
      <c r="Q30" s="3" t="s">
        <v>56</v>
      </c>
      <c r="R30" s="3" t="s">
        <v>209</v>
      </c>
      <c r="S30" s="3" t="s">
        <v>56</v>
      </c>
      <c r="T30" s="3" t="s">
        <v>210</v>
      </c>
      <c r="U30" s="3" t="s">
        <v>56</v>
      </c>
      <c r="V30" s="3" t="s">
        <v>211</v>
      </c>
      <c r="W30" s="3" t="s">
        <v>56</v>
      </c>
      <c r="X30" s="3" t="s">
        <v>599</v>
      </c>
      <c r="Y30" s="3" t="s">
        <v>56</v>
      </c>
      <c r="Z30" s="3" t="s">
        <v>489</v>
      </c>
      <c r="AA30" s="3" t="s">
        <v>56</v>
      </c>
      <c r="AB30" s="3" t="s">
        <v>490</v>
      </c>
      <c r="AC30" s="3" t="s">
        <v>56</v>
      </c>
      <c r="AD30" s="3" t="s">
        <v>304</v>
      </c>
      <c r="AE30" s="3" t="s">
        <v>56</v>
      </c>
      <c r="AF30" s="3" t="s">
        <v>1019</v>
      </c>
      <c r="AG30" s="3" t="s">
        <v>56</v>
      </c>
      <c r="AH30" s="3" t="s">
        <v>1020</v>
      </c>
      <c r="AI30" s="3" t="s">
        <v>56</v>
      </c>
      <c r="AJ30" s="3" t="s">
        <v>1021</v>
      </c>
      <c r="AK30" s="3" t="s">
        <v>56</v>
      </c>
      <c r="AL30" s="3" t="s">
        <v>1022</v>
      </c>
      <c r="AM30" s="3" t="s">
        <v>56</v>
      </c>
      <c r="AN30" s="3" t="s">
        <v>665</v>
      </c>
      <c r="AO30" s="3" t="s">
        <v>56</v>
      </c>
      <c r="AP30" s="3" t="s">
        <v>488</v>
      </c>
      <c r="AQ30" s="3" t="s">
        <v>56</v>
      </c>
      <c r="AR30" s="3" t="s">
        <v>712</v>
      </c>
      <c r="AS30" s="3" t="s">
        <v>56</v>
      </c>
      <c r="AT30" s="3" t="s">
        <v>353</v>
      </c>
      <c r="AU30" s="3" t="s">
        <v>56</v>
      </c>
      <c r="AV30" s="3" t="s">
        <v>706</v>
      </c>
      <c r="AW30" s="3" t="s">
        <v>56</v>
      </c>
      <c r="AX30" s="3" t="s">
        <v>299</v>
      </c>
      <c r="AY30" s="3" t="s">
        <v>56</v>
      </c>
      <c r="AZ30" s="3" t="s">
        <v>1023</v>
      </c>
      <c r="BA30" s="3" t="s">
        <v>56</v>
      </c>
      <c r="BB30" s="3" t="s">
        <v>226</v>
      </c>
      <c r="BC30" s="3" t="s">
        <v>56</v>
      </c>
      <c r="BD30" s="3" t="s">
        <v>217</v>
      </c>
      <c r="BE30" s="3" t="s">
        <v>56</v>
      </c>
      <c r="BF30" s="3" t="s">
        <v>245</v>
      </c>
      <c r="BG30" s="3" t="s">
        <v>56</v>
      </c>
      <c r="BH30" s="3" t="s">
        <v>270</v>
      </c>
      <c r="BI30" s="3" t="s">
        <v>56</v>
      </c>
      <c r="BJ30" s="3" t="s">
        <v>306</v>
      </c>
      <c r="BK30" s="3" t="s">
        <v>56</v>
      </c>
      <c r="BL30" s="3" t="s">
        <v>290</v>
      </c>
      <c r="BM30" s="3" t="s">
        <v>56</v>
      </c>
      <c r="BN30" s="3" t="s">
        <v>229</v>
      </c>
      <c r="BO30" s="3" t="s">
        <v>56</v>
      </c>
      <c r="BP30" s="3" t="s">
        <v>1024</v>
      </c>
      <c r="BQ30" s="3" t="s">
        <v>56</v>
      </c>
      <c r="BR30" s="3" t="s">
        <v>479</v>
      </c>
      <c r="BS30" s="3" t="s">
        <v>56</v>
      </c>
      <c r="BT30" s="3" t="s">
        <v>319</v>
      </c>
      <c r="BU30" s="3" t="s">
        <v>56</v>
      </c>
      <c r="BV30" s="3" t="s">
        <v>291</v>
      </c>
      <c r="BW30" s="3" t="s">
        <v>56</v>
      </c>
      <c r="BX30" s="3" t="s">
        <v>397</v>
      </c>
      <c r="BY30" s="3" t="s">
        <v>56</v>
      </c>
      <c r="BZ30" s="3" t="s">
        <v>822</v>
      </c>
      <c r="CA30" s="3" t="s">
        <v>56</v>
      </c>
      <c r="CB30" s="3" t="s">
        <v>397</v>
      </c>
      <c r="CC30" s="3" t="s">
        <v>56</v>
      </c>
      <c r="CD30" s="3" t="s">
        <v>1025</v>
      </c>
      <c r="CE30" s="3" t="s">
        <v>56</v>
      </c>
      <c r="CF30" s="3" t="s">
        <v>233</v>
      </c>
      <c r="CG30" s="3" t="s">
        <v>56</v>
      </c>
      <c r="CH30" s="3" t="s">
        <v>602</v>
      </c>
    </row>
    <row r="31" spans="1:86" x14ac:dyDescent="0.55000000000000004">
      <c r="A31" s="3" t="s">
        <v>363</v>
      </c>
      <c r="B31" s="3" t="s">
        <v>364</v>
      </c>
      <c r="C31" s="3" t="s">
        <v>84</v>
      </c>
      <c r="D31" s="3" t="s">
        <v>55</v>
      </c>
      <c r="E31" s="3" t="s">
        <v>57</v>
      </c>
      <c r="F31" s="3" t="s">
        <v>720</v>
      </c>
      <c r="G31" s="3" t="s">
        <v>53</v>
      </c>
      <c r="H31" s="3" t="s">
        <v>80</v>
      </c>
      <c r="I31" s="3" t="s">
        <v>59</v>
      </c>
      <c r="J31" s="3" t="s">
        <v>81</v>
      </c>
      <c r="K31" s="3" t="s">
        <v>82</v>
      </c>
      <c r="L31" s="3" t="s">
        <v>55</v>
      </c>
      <c r="M31" s="3" t="s">
        <v>84</v>
      </c>
      <c r="N31" s="3" t="s">
        <v>87</v>
      </c>
      <c r="O31" s="3" t="s">
        <v>56</v>
      </c>
      <c r="P31" s="3" t="s">
        <v>210</v>
      </c>
      <c r="Q31" s="3" t="s">
        <v>56</v>
      </c>
      <c r="R31" s="3" t="s">
        <v>211</v>
      </c>
      <c r="S31" s="3" t="s">
        <v>56</v>
      </c>
      <c r="T31" s="3" t="s">
        <v>212</v>
      </c>
      <c r="U31" s="3" t="s">
        <v>56</v>
      </c>
      <c r="V31" s="3" t="s">
        <v>365</v>
      </c>
      <c r="W31" s="3" t="s">
        <v>56</v>
      </c>
      <c r="X31" s="3" t="s">
        <v>262</v>
      </c>
      <c r="Y31" s="3" t="s">
        <v>56</v>
      </c>
      <c r="Z31" s="3" t="s">
        <v>368</v>
      </c>
      <c r="AA31" s="3" t="s">
        <v>56</v>
      </c>
      <c r="AB31" s="3" t="s">
        <v>485</v>
      </c>
      <c r="AC31" s="3" t="s">
        <v>56</v>
      </c>
      <c r="AD31" s="3" t="s">
        <v>392</v>
      </c>
      <c r="AE31" s="3" t="s">
        <v>56</v>
      </c>
      <c r="AF31" s="3" t="s">
        <v>1026</v>
      </c>
      <c r="AG31" s="3" t="s">
        <v>56</v>
      </c>
      <c r="AH31" s="3" t="s">
        <v>1027</v>
      </c>
      <c r="AI31" s="3" t="s">
        <v>56</v>
      </c>
      <c r="AJ31" s="3" t="s">
        <v>1028</v>
      </c>
      <c r="AK31" s="3" t="s">
        <v>56</v>
      </c>
      <c r="AL31" s="3" t="s">
        <v>1029</v>
      </c>
      <c r="AM31" s="3" t="s">
        <v>56</v>
      </c>
      <c r="AN31" s="3" t="s">
        <v>419</v>
      </c>
      <c r="AO31" s="3" t="s">
        <v>56</v>
      </c>
      <c r="AP31" s="3" t="s">
        <v>1030</v>
      </c>
      <c r="AQ31" s="3" t="s">
        <v>56</v>
      </c>
      <c r="AR31" s="3" t="s">
        <v>320</v>
      </c>
      <c r="AS31" s="3" t="s">
        <v>56</v>
      </c>
      <c r="AT31" s="3" t="s">
        <v>293</v>
      </c>
      <c r="AU31" s="3" t="s">
        <v>56</v>
      </c>
      <c r="AV31" s="3" t="s">
        <v>1031</v>
      </c>
      <c r="AW31" s="3" t="s">
        <v>56</v>
      </c>
      <c r="AX31" s="3" t="s">
        <v>657</v>
      </c>
      <c r="AY31" s="3" t="s">
        <v>56</v>
      </c>
      <c r="AZ31" s="3" t="s">
        <v>1032</v>
      </c>
      <c r="BA31" s="3" t="s">
        <v>56</v>
      </c>
      <c r="BB31" s="3" t="s">
        <v>252</v>
      </c>
      <c r="BC31" s="3" t="s">
        <v>56</v>
      </c>
      <c r="BD31" s="3" t="s">
        <v>237</v>
      </c>
      <c r="BE31" s="3" t="s">
        <v>56</v>
      </c>
      <c r="BF31" s="3" t="s">
        <v>217</v>
      </c>
      <c r="BG31" s="3" t="s">
        <v>56</v>
      </c>
      <c r="BH31" s="3" t="s">
        <v>245</v>
      </c>
      <c r="BI31" s="3" t="s">
        <v>56</v>
      </c>
      <c r="BJ31" s="3" t="s">
        <v>589</v>
      </c>
      <c r="BK31" s="3" t="s">
        <v>56</v>
      </c>
      <c r="BL31" s="3" t="s">
        <v>590</v>
      </c>
      <c r="BM31" s="3" t="s">
        <v>56</v>
      </c>
      <c r="BN31" s="3" t="s">
        <v>357</v>
      </c>
      <c r="BO31" s="3" t="s">
        <v>56</v>
      </c>
      <c r="BP31" s="3" t="s">
        <v>1033</v>
      </c>
      <c r="BQ31" s="3" t="s">
        <v>56</v>
      </c>
      <c r="BR31" s="3" t="s">
        <v>1034</v>
      </c>
      <c r="BS31" s="3" t="s">
        <v>56</v>
      </c>
      <c r="BT31" s="3" t="s">
        <v>271</v>
      </c>
      <c r="BU31" s="3" t="s">
        <v>56</v>
      </c>
      <c r="BV31" s="3" t="s">
        <v>1035</v>
      </c>
      <c r="BW31" s="3" t="s">
        <v>56</v>
      </c>
      <c r="BX31" s="3" t="s">
        <v>1036</v>
      </c>
      <c r="BY31" s="3" t="s">
        <v>56</v>
      </c>
      <c r="BZ31" s="3" t="s">
        <v>607</v>
      </c>
      <c r="CA31" s="3" t="s">
        <v>56</v>
      </c>
      <c r="CB31" s="3" t="s">
        <v>595</v>
      </c>
      <c r="CC31" s="3" t="s">
        <v>56</v>
      </c>
      <c r="CD31" s="3" t="s">
        <v>689</v>
      </c>
      <c r="CE31" s="3" t="s">
        <v>56</v>
      </c>
      <c r="CF31" s="3" t="s">
        <v>1037</v>
      </c>
      <c r="CG31" s="3" t="s">
        <v>56</v>
      </c>
      <c r="CH31" s="3" t="s">
        <v>420</v>
      </c>
    </row>
    <row r="32" spans="1:86" x14ac:dyDescent="0.55000000000000004">
      <c r="A32" s="3" t="s">
        <v>367</v>
      </c>
      <c r="B32" s="3" t="s">
        <v>351</v>
      </c>
      <c r="C32" s="3" t="s">
        <v>64</v>
      </c>
      <c r="D32" s="3" t="s">
        <v>55</v>
      </c>
      <c r="E32" s="3" t="s">
        <v>57</v>
      </c>
      <c r="F32" s="3" t="s">
        <v>720</v>
      </c>
      <c r="G32" s="3" t="s">
        <v>53</v>
      </c>
      <c r="H32" s="3" t="s">
        <v>58</v>
      </c>
      <c r="I32" s="3" t="s">
        <v>59</v>
      </c>
      <c r="J32" s="3" t="s">
        <v>63</v>
      </c>
      <c r="K32" s="3" t="s">
        <v>61</v>
      </c>
      <c r="L32" s="3" t="s">
        <v>55</v>
      </c>
      <c r="M32" s="3" t="s">
        <v>64</v>
      </c>
      <c r="N32" s="3" t="s">
        <v>66</v>
      </c>
      <c r="O32" s="3" t="s">
        <v>56</v>
      </c>
      <c r="P32" s="3" t="s">
        <v>224</v>
      </c>
      <c r="Q32" s="3" t="s">
        <v>56</v>
      </c>
      <c r="R32" s="3" t="s">
        <v>209</v>
      </c>
      <c r="S32" s="3" t="s">
        <v>56</v>
      </c>
      <c r="T32" s="3" t="s">
        <v>210</v>
      </c>
      <c r="U32" s="3" t="s">
        <v>56</v>
      </c>
      <c r="V32" s="3" t="s">
        <v>211</v>
      </c>
      <c r="W32" s="3" t="s">
        <v>56</v>
      </c>
      <c r="X32" s="3" t="s">
        <v>489</v>
      </c>
      <c r="Y32" s="3" t="s">
        <v>56</v>
      </c>
      <c r="Z32" s="3" t="s">
        <v>232</v>
      </c>
      <c r="AA32" s="3" t="s">
        <v>56</v>
      </c>
      <c r="AB32" s="3" t="s">
        <v>222</v>
      </c>
      <c r="AC32" s="3" t="s">
        <v>56</v>
      </c>
      <c r="AD32" s="3" t="s">
        <v>234</v>
      </c>
      <c r="AE32" s="3" t="s">
        <v>56</v>
      </c>
      <c r="AF32" s="3" t="s">
        <v>1038</v>
      </c>
      <c r="AG32" s="3" t="s">
        <v>56</v>
      </c>
      <c r="AH32" s="3" t="s">
        <v>1039</v>
      </c>
      <c r="AI32" s="3" t="s">
        <v>56</v>
      </c>
      <c r="AJ32" s="3" t="s">
        <v>1040</v>
      </c>
      <c r="AK32" s="3" t="s">
        <v>56</v>
      </c>
      <c r="AL32" s="3" t="s">
        <v>1041</v>
      </c>
      <c r="AM32" s="3" t="s">
        <v>56</v>
      </c>
      <c r="AN32" s="3" t="s">
        <v>605</v>
      </c>
      <c r="AO32" s="3" t="s">
        <v>56</v>
      </c>
      <c r="AP32" s="3" t="s">
        <v>1042</v>
      </c>
      <c r="AQ32" s="3" t="s">
        <v>56</v>
      </c>
      <c r="AR32" s="3" t="s">
        <v>610</v>
      </c>
      <c r="AS32" s="3" t="s">
        <v>56</v>
      </c>
      <c r="AT32" s="3" t="s">
        <v>353</v>
      </c>
      <c r="AU32" s="3" t="s">
        <v>56</v>
      </c>
      <c r="AV32" s="3" t="s">
        <v>1043</v>
      </c>
      <c r="AW32" s="3" t="s">
        <v>56</v>
      </c>
      <c r="AX32" s="3" t="s">
        <v>459</v>
      </c>
      <c r="AY32" s="3" t="s">
        <v>56</v>
      </c>
      <c r="AZ32" s="3" t="s">
        <v>1044</v>
      </c>
      <c r="BA32" s="3" t="s">
        <v>56</v>
      </c>
      <c r="BB32" s="3" t="s">
        <v>217</v>
      </c>
      <c r="BC32" s="3" t="s">
        <v>56</v>
      </c>
      <c r="BD32" s="3" t="s">
        <v>237</v>
      </c>
      <c r="BE32" s="3" t="s">
        <v>56</v>
      </c>
      <c r="BF32" s="3" t="s">
        <v>264</v>
      </c>
      <c r="BG32" s="3" t="s">
        <v>56</v>
      </c>
      <c r="BH32" s="3" t="s">
        <v>226</v>
      </c>
      <c r="BI32" s="3" t="s">
        <v>56</v>
      </c>
      <c r="BJ32" s="3" t="s">
        <v>369</v>
      </c>
      <c r="BK32" s="3" t="s">
        <v>56</v>
      </c>
      <c r="BL32" s="3" t="s">
        <v>370</v>
      </c>
      <c r="BM32" s="3" t="s">
        <v>56</v>
      </c>
      <c r="BN32" s="3" t="s">
        <v>229</v>
      </c>
      <c r="BO32" s="3" t="s">
        <v>56</v>
      </c>
      <c r="BP32" s="3" t="s">
        <v>1045</v>
      </c>
      <c r="BQ32" s="3" t="s">
        <v>56</v>
      </c>
      <c r="BR32" s="3" t="s">
        <v>1046</v>
      </c>
      <c r="BS32" s="3" t="s">
        <v>56</v>
      </c>
      <c r="BT32" s="3" t="s">
        <v>371</v>
      </c>
      <c r="BU32" s="3" t="s">
        <v>56</v>
      </c>
      <c r="BV32" s="3" t="s">
        <v>604</v>
      </c>
      <c r="BW32" s="3" t="s">
        <v>56</v>
      </c>
      <c r="BX32" s="3" t="s">
        <v>619</v>
      </c>
      <c r="BY32" s="3" t="s">
        <v>56</v>
      </c>
      <c r="BZ32" s="3" t="s">
        <v>646</v>
      </c>
      <c r="CA32" s="3" t="s">
        <v>56</v>
      </c>
      <c r="CB32" s="3" t="s">
        <v>584</v>
      </c>
      <c r="CC32" s="3" t="s">
        <v>56</v>
      </c>
      <c r="CD32" s="3" t="s">
        <v>709</v>
      </c>
      <c r="CE32" s="3" t="s">
        <v>56</v>
      </c>
      <c r="CF32" s="3" t="s">
        <v>295</v>
      </c>
      <c r="CG32" s="3" t="s">
        <v>56</v>
      </c>
      <c r="CH32" s="3" t="s">
        <v>231</v>
      </c>
    </row>
    <row r="33" spans="1:86" x14ac:dyDescent="0.55000000000000004">
      <c r="A33" s="3" t="s">
        <v>470</v>
      </c>
      <c r="B33" s="3" t="s">
        <v>471</v>
      </c>
      <c r="C33" s="3" t="s">
        <v>88</v>
      </c>
      <c r="D33" s="3" t="s">
        <v>55</v>
      </c>
      <c r="E33" s="3" t="s">
        <v>76</v>
      </c>
      <c r="F33" s="3" t="s">
        <v>876</v>
      </c>
      <c r="G33" s="3" t="s">
        <v>53</v>
      </c>
      <c r="H33" s="3" t="s">
        <v>58</v>
      </c>
      <c r="I33" s="3" t="s">
        <v>59</v>
      </c>
      <c r="J33" s="3" t="s">
        <v>63</v>
      </c>
      <c r="K33" s="3" t="s">
        <v>61</v>
      </c>
      <c r="L33" s="3" t="s">
        <v>55</v>
      </c>
      <c r="M33" s="3" t="s">
        <v>88</v>
      </c>
      <c r="N33" s="3" t="s">
        <v>72</v>
      </c>
      <c r="O33" s="3" t="s">
        <v>56</v>
      </c>
      <c r="P33" s="3" t="s">
        <v>249</v>
      </c>
      <c r="Q33" s="3" t="s">
        <v>56</v>
      </c>
      <c r="R33" s="3" t="s">
        <v>224</v>
      </c>
      <c r="S33" s="3" t="s">
        <v>56</v>
      </c>
      <c r="T33" s="3" t="s">
        <v>209</v>
      </c>
      <c r="U33" s="3" t="s">
        <v>56</v>
      </c>
      <c r="V33" s="3" t="s">
        <v>210</v>
      </c>
      <c r="W33" s="3" t="s">
        <v>56</v>
      </c>
      <c r="X33" s="3" t="s">
        <v>399</v>
      </c>
      <c r="Y33" s="3" t="s">
        <v>56</v>
      </c>
      <c r="Z33" s="3" t="s">
        <v>632</v>
      </c>
      <c r="AA33" s="3" t="s">
        <v>56</v>
      </c>
      <c r="AB33" s="3" t="s">
        <v>313</v>
      </c>
      <c r="AC33" s="3" t="s">
        <v>56</v>
      </c>
      <c r="AD33" s="3" t="s">
        <v>392</v>
      </c>
      <c r="AE33" s="3" t="s">
        <v>56</v>
      </c>
      <c r="AF33" s="3" t="s">
        <v>1047</v>
      </c>
      <c r="AG33" s="3" t="s">
        <v>56</v>
      </c>
      <c r="AH33" s="3" t="s">
        <v>1048</v>
      </c>
      <c r="AI33" s="3" t="s">
        <v>56</v>
      </c>
      <c r="AJ33" s="3" t="s">
        <v>1049</v>
      </c>
      <c r="AK33" s="3" t="s">
        <v>56</v>
      </c>
      <c r="AL33" s="3" t="s">
        <v>826</v>
      </c>
      <c r="AM33" s="3" t="s">
        <v>56</v>
      </c>
      <c r="AN33" s="3" t="s">
        <v>1050</v>
      </c>
      <c r="AO33" s="3" t="s">
        <v>56</v>
      </c>
      <c r="AP33" s="3" t="s">
        <v>582</v>
      </c>
      <c r="AQ33" s="3" t="s">
        <v>56</v>
      </c>
      <c r="AR33" s="3" t="s">
        <v>737</v>
      </c>
      <c r="AS33" s="3" t="s">
        <v>56</v>
      </c>
      <c r="AT33" s="3" t="s">
        <v>339</v>
      </c>
      <c r="AU33" s="3" t="s">
        <v>56</v>
      </c>
      <c r="AV33" s="3" t="s">
        <v>664</v>
      </c>
      <c r="AW33" s="3" t="s">
        <v>56</v>
      </c>
      <c r="AX33" s="3" t="s">
        <v>244</v>
      </c>
      <c r="AY33" s="3" t="s">
        <v>56</v>
      </c>
      <c r="AZ33" s="3" t="s">
        <v>1051</v>
      </c>
      <c r="BA33" s="3" t="s">
        <v>56</v>
      </c>
      <c r="BB33" s="3" t="s">
        <v>218</v>
      </c>
      <c r="BC33" s="3" t="s">
        <v>56</v>
      </c>
      <c r="BD33" s="3" t="s">
        <v>237</v>
      </c>
      <c r="BE33" s="3" t="s">
        <v>56</v>
      </c>
      <c r="BF33" s="3" t="s">
        <v>226</v>
      </c>
      <c r="BG33" s="3" t="s">
        <v>56</v>
      </c>
      <c r="BH33" s="3" t="s">
        <v>218</v>
      </c>
      <c r="BI33" s="3" t="s">
        <v>56</v>
      </c>
      <c r="BJ33" s="3" t="s">
        <v>416</v>
      </c>
      <c r="BK33" s="3" t="s">
        <v>56</v>
      </c>
      <c r="BL33" s="3" t="s">
        <v>420</v>
      </c>
      <c r="BM33" s="3" t="s">
        <v>56</v>
      </c>
      <c r="BN33" s="3" t="s">
        <v>314</v>
      </c>
      <c r="BO33" s="3" t="s">
        <v>56</v>
      </c>
      <c r="BP33" s="3" t="s">
        <v>1052</v>
      </c>
      <c r="BQ33" s="3" t="s">
        <v>56</v>
      </c>
      <c r="BR33" s="3" t="s">
        <v>257</v>
      </c>
      <c r="BS33" s="3" t="s">
        <v>56</v>
      </c>
      <c r="BT33" s="3" t="s">
        <v>443</v>
      </c>
      <c r="BU33" s="3" t="s">
        <v>56</v>
      </c>
      <c r="BV33" s="3" t="s">
        <v>588</v>
      </c>
      <c r="BW33" s="3" t="s">
        <v>56</v>
      </c>
      <c r="BX33" s="3" t="s">
        <v>584</v>
      </c>
      <c r="BY33" s="3" t="s">
        <v>56</v>
      </c>
      <c r="BZ33" s="3" t="s">
        <v>661</v>
      </c>
      <c r="CA33" s="3" t="s">
        <v>56</v>
      </c>
      <c r="CB33" s="3" t="s">
        <v>583</v>
      </c>
      <c r="CC33" s="3" t="s">
        <v>56</v>
      </c>
      <c r="CD33" s="3" t="s">
        <v>654</v>
      </c>
      <c r="CE33" s="3" t="s">
        <v>56</v>
      </c>
      <c r="CF33" s="3" t="s">
        <v>308</v>
      </c>
      <c r="CG33" s="3" t="s">
        <v>56</v>
      </c>
      <c r="CH33" s="3" t="s">
        <v>344</v>
      </c>
    </row>
    <row r="34" spans="1:86" x14ac:dyDescent="0.55000000000000004">
      <c r="A34" s="3" t="s">
        <v>658</v>
      </c>
      <c r="B34" s="3" t="s">
        <v>659</v>
      </c>
      <c r="C34" s="3" t="s">
        <v>54</v>
      </c>
      <c r="D34" s="3" t="s">
        <v>55</v>
      </c>
      <c r="E34" s="3" t="s">
        <v>76</v>
      </c>
      <c r="F34" s="3" t="s">
        <v>720</v>
      </c>
      <c r="G34" s="3" t="s">
        <v>53</v>
      </c>
      <c r="H34" s="3" t="s">
        <v>58</v>
      </c>
      <c r="I34" s="3" t="s">
        <v>59</v>
      </c>
      <c r="J34" s="3" t="s">
        <v>60</v>
      </c>
      <c r="K34" s="3" t="s">
        <v>77</v>
      </c>
      <c r="L34" s="3" t="s">
        <v>55</v>
      </c>
      <c r="M34" s="3" t="s">
        <v>54</v>
      </c>
      <c r="N34" s="3" t="s">
        <v>62</v>
      </c>
      <c r="O34" s="3" t="s">
        <v>56</v>
      </c>
      <c r="P34" s="3" t="s">
        <v>224</v>
      </c>
      <c r="Q34" s="3" t="s">
        <v>56</v>
      </c>
      <c r="R34" s="3" t="s">
        <v>209</v>
      </c>
      <c r="S34" s="3" t="s">
        <v>56</v>
      </c>
      <c r="T34" s="3" t="s">
        <v>210</v>
      </c>
      <c r="U34" s="3" t="s">
        <v>56</v>
      </c>
      <c r="V34" s="3" t="s">
        <v>211</v>
      </c>
      <c r="W34" s="3" t="s">
        <v>56</v>
      </c>
      <c r="X34" s="3" t="s">
        <v>368</v>
      </c>
      <c r="Y34" s="3" t="s">
        <v>56</v>
      </c>
      <c r="Z34" s="3" t="s">
        <v>485</v>
      </c>
      <c r="AA34" s="3" t="s">
        <v>56</v>
      </c>
      <c r="AB34" s="3" t="s">
        <v>302</v>
      </c>
      <c r="AC34" s="3" t="s">
        <v>56</v>
      </c>
      <c r="AD34" s="3" t="s">
        <v>222</v>
      </c>
      <c r="AE34" s="3" t="s">
        <v>56</v>
      </c>
      <c r="AF34" s="3" t="s">
        <v>698</v>
      </c>
      <c r="AG34" s="3" t="s">
        <v>56</v>
      </c>
      <c r="AH34" s="3" t="s">
        <v>1053</v>
      </c>
      <c r="AI34" s="3" t="s">
        <v>56</v>
      </c>
      <c r="AJ34" s="3" t="s">
        <v>1054</v>
      </c>
      <c r="AK34" s="3" t="s">
        <v>56</v>
      </c>
      <c r="AL34" s="3" t="s">
        <v>1055</v>
      </c>
      <c r="AM34" s="3" t="s">
        <v>56</v>
      </c>
      <c r="AN34" s="3" t="s">
        <v>1010</v>
      </c>
      <c r="AO34" s="3" t="s">
        <v>56</v>
      </c>
      <c r="AP34" s="3" t="s">
        <v>466</v>
      </c>
      <c r="AQ34" s="3" t="s">
        <v>56</v>
      </c>
      <c r="AR34" s="3" t="s">
        <v>603</v>
      </c>
      <c r="AS34" s="3" t="s">
        <v>56</v>
      </c>
      <c r="AT34" s="3" t="s">
        <v>317</v>
      </c>
      <c r="AU34" s="3" t="s">
        <v>56</v>
      </c>
      <c r="AV34" s="3" t="s">
        <v>1056</v>
      </c>
      <c r="AW34" s="3" t="s">
        <v>56</v>
      </c>
      <c r="AX34" s="3" t="s">
        <v>657</v>
      </c>
      <c r="AY34" s="3" t="s">
        <v>56</v>
      </c>
      <c r="AZ34" s="3" t="s">
        <v>469</v>
      </c>
      <c r="BA34" s="3" t="s">
        <v>56</v>
      </c>
      <c r="BB34" s="3" t="s">
        <v>217</v>
      </c>
      <c r="BC34" s="3" t="s">
        <v>56</v>
      </c>
      <c r="BD34" s="3" t="s">
        <v>237</v>
      </c>
      <c r="BE34" s="3" t="s">
        <v>56</v>
      </c>
      <c r="BF34" s="3" t="s">
        <v>226</v>
      </c>
      <c r="BG34" s="3" t="s">
        <v>56</v>
      </c>
      <c r="BH34" s="3" t="s">
        <v>237</v>
      </c>
      <c r="BI34" s="3" t="s">
        <v>56</v>
      </c>
      <c r="BJ34" s="3" t="s">
        <v>589</v>
      </c>
      <c r="BK34" s="3" t="s">
        <v>56</v>
      </c>
      <c r="BL34" s="3" t="s">
        <v>590</v>
      </c>
      <c r="BM34" s="3" t="s">
        <v>56</v>
      </c>
      <c r="BN34" s="3" t="s">
        <v>221</v>
      </c>
      <c r="BO34" s="3" t="s">
        <v>56</v>
      </c>
      <c r="BP34" s="3" t="s">
        <v>649</v>
      </c>
      <c r="BQ34" s="3" t="s">
        <v>56</v>
      </c>
      <c r="BR34" s="3" t="s">
        <v>629</v>
      </c>
      <c r="BS34" s="3" t="s">
        <v>56</v>
      </c>
      <c r="BT34" s="3" t="s">
        <v>418</v>
      </c>
      <c r="BU34" s="3" t="s">
        <v>56</v>
      </c>
      <c r="BV34" s="3" t="s">
        <v>1057</v>
      </c>
      <c r="BW34" s="3" t="s">
        <v>56</v>
      </c>
      <c r="BX34" s="3" t="s">
        <v>1058</v>
      </c>
      <c r="BY34" s="3" t="s">
        <v>56</v>
      </c>
      <c r="BZ34" s="3" t="s">
        <v>1059</v>
      </c>
      <c r="CA34" s="3" t="s">
        <v>56</v>
      </c>
      <c r="CB34" s="3" t="s">
        <v>1060</v>
      </c>
      <c r="CC34" s="3" t="s">
        <v>56</v>
      </c>
      <c r="CD34" s="3" t="s">
        <v>1061</v>
      </c>
      <c r="CE34" s="3" t="s">
        <v>56</v>
      </c>
      <c r="CF34" s="3" t="s">
        <v>406</v>
      </c>
      <c r="CG34" s="3" t="s">
        <v>56</v>
      </c>
      <c r="CH34" s="3" t="s">
        <v>408</v>
      </c>
    </row>
    <row r="35" spans="1:86" x14ac:dyDescent="0.55000000000000004">
      <c r="A35" s="3" t="s">
        <v>1062</v>
      </c>
      <c r="B35" s="3" t="s">
        <v>1063</v>
      </c>
      <c r="C35" s="3" t="s">
        <v>84</v>
      </c>
      <c r="D35" s="3" t="s">
        <v>68</v>
      </c>
      <c r="E35" s="3" t="s">
        <v>94</v>
      </c>
      <c r="F35" s="3" t="s">
        <v>777</v>
      </c>
      <c r="G35" s="3" t="s">
        <v>53</v>
      </c>
      <c r="H35" s="3" t="s">
        <v>80</v>
      </c>
      <c r="I35" s="3" t="s">
        <v>59</v>
      </c>
      <c r="J35" s="3" t="s">
        <v>81</v>
      </c>
      <c r="K35" s="3" t="s">
        <v>82</v>
      </c>
      <c r="L35" s="3" t="s">
        <v>68</v>
      </c>
      <c r="M35" s="3" t="s">
        <v>84</v>
      </c>
      <c r="N35" s="3" t="s">
        <v>87</v>
      </c>
      <c r="O35" s="3" t="s">
        <v>56</v>
      </c>
      <c r="P35" s="3" t="s">
        <v>209</v>
      </c>
      <c r="Q35" s="3" t="s">
        <v>56</v>
      </c>
      <c r="R35" s="3" t="s">
        <v>210</v>
      </c>
      <c r="S35" s="3" t="s">
        <v>56</v>
      </c>
      <c r="T35" s="3" t="s">
        <v>211</v>
      </c>
      <c r="U35" s="3" t="s">
        <v>56</v>
      </c>
      <c r="V35" s="3" t="s">
        <v>212</v>
      </c>
      <c r="W35" s="3" t="s">
        <v>56</v>
      </c>
      <c r="X35" s="3" t="s">
        <v>250</v>
      </c>
      <c r="Y35" s="3" t="s">
        <v>56</v>
      </c>
      <c r="Z35" s="3" t="s">
        <v>259</v>
      </c>
      <c r="AA35" s="3" t="s">
        <v>56</v>
      </c>
      <c r="AB35" s="3" t="s">
        <v>280</v>
      </c>
      <c r="AC35" s="3" t="s">
        <v>56</v>
      </c>
      <c r="AD35" s="3" t="s">
        <v>377</v>
      </c>
      <c r="AE35" s="3" t="s">
        <v>56</v>
      </c>
      <c r="AF35" s="3" t="s">
        <v>676</v>
      </c>
      <c r="AG35" s="3" t="s">
        <v>56</v>
      </c>
      <c r="AH35" s="3" t="s">
        <v>1064</v>
      </c>
      <c r="AI35" s="3" t="s">
        <v>56</v>
      </c>
      <c r="AJ35" s="3" t="s">
        <v>1065</v>
      </c>
      <c r="AK35" s="3" t="s">
        <v>56</v>
      </c>
      <c r="AL35" s="3" t="s">
        <v>1066</v>
      </c>
      <c r="AM35" s="3" t="s">
        <v>56</v>
      </c>
      <c r="AN35" s="3" t="s">
        <v>276</v>
      </c>
      <c r="AO35" s="3" t="s">
        <v>56</v>
      </c>
      <c r="AP35" s="3" t="s">
        <v>486</v>
      </c>
      <c r="AQ35" s="3" t="s">
        <v>56</v>
      </c>
      <c r="AR35" s="3" t="s">
        <v>637</v>
      </c>
      <c r="AS35" s="3" t="s">
        <v>56</v>
      </c>
      <c r="AT35" s="3" t="s">
        <v>339</v>
      </c>
      <c r="AU35" s="3" t="s">
        <v>56</v>
      </c>
      <c r="AV35" s="3" t="s">
        <v>970</v>
      </c>
      <c r="AW35" s="3" t="s">
        <v>56</v>
      </c>
      <c r="AX35" s="3" t="s">
        <v>407</v>
      </c>
      <c r="AY35" s="3" t="s">
        <v>56</v>
      </c>
      <c r="AZ35" s="3" t="s">
        <v>1067</v>
      </c>
      <c r="BA35" s="3" t="s">
        <v>56</v>
      </c>
      <c r="BB35" s="3" t="s">
        <v>217</v>
      </c>
      <c r="BC35" s="3" t="s">
        <v>56</v>
      </c>
      <c r="BD35" s="3" t="s">
        <v>237</v>
      </c>
      <c r="BE35" s="3" t="s">
        <v>56</v>
      </c>
      <c r="BF35" s="3" t="s">
        <v>245</v>
      </c>
      <c r="BG35" s="3" t="s">
        <v>56</v>
      </c>
      <c r="BH35" s="3" t="s">
        <v>226</v>
      </c>
      <c r="BI35" s="3" t="s">
        <v>56</v>
      </c>
      <c r="BJ35" s="3" t="s">
        <v>340</v>
      </c>
      <c r="BK35" s="3" t="s">
        <v>56</v>
      </c>
      <c r="BL35" s="3" t="s">
        <v>341</v>
      </c>
      <c r="BM35" s="3" t="s">
        <v>56</v>
      </c>
      <c r="BN35" s="3" t="s">
        <v>246</v>
      </c>
      <c r="BO35" s="3" t="s">
        <v>56</v>
      </c>
      <c r="BP35" s="3" t="s">
        <v>1068</v>
      </c>
      <c r="BQ35" s="3" t="s">
        <v>56</v>
      </c>
      <c r="BR35" s="3" t="s">
        <v>1069</v>
      </c>
      <c r="BS35" s="3" t="s">
        <v>56</v>
      </c>
      <c r="BT35" s="3" t="s">
        <v>283</v>
      </c>
      <c r="BU35" s="3" t="s">
        <v>56</v>
      </c>
      <c r="BV35" s="3" t="s">
        <v>1070</v>
      </c>
      <c r="BW35" s="3" t="s">
        <v>56</v>
      </c>
      <c r="BX35" s="3" t="s">
        <v>479</v>
      </c>
      <c r="BY35" s="3" t="s">
        <v>56</v>
      </c>
      <c r="BZ35" s="3" t="s">
        <v>1071</v>
      </c>
      <c r="CA35" s="3" t="s">
        <v>56</v>
      </c>
      <c r="CB35" s="3" t="s">
        <v>479</v>
      </c>
      <c r="CC35" s="3" t="s">
        <v>56</v>
      </c>
      <c r="CD35" s="3" t="s">
        <v>1072</v>
      </c>
      <c r="CE35" s="3" t="s">
        <v>56</v>
      </c>
      <c r="CF35" s="3" t="s">
        <v>384</v>
      </c>
      <c r="CG35" s="3" t="s">
        <v>56</v>
      </c>
      <c r="CH35" s="3" t="s">
        <v>393</v>
      </c>
    </row>
    <row r="36" spans="1:86" x14ac:dyDescent="0.55000000000000004">
      <c r="A36" s="3" t="s">
        <v>1073</v>
      </c>
      <c r="B36" s="3" t="s">
        <v>1074</v>
      </c>
      <c r="C36" s="3" t="s">
        <v>88</v>
      </c>
      <c r="D36" s="3" t="s">
        <v>55</v>
      </c>
      <c r="E36" s="3" t="s">
        <v>76</v>
      </c>
      <c r="F36" s="3" t="s">
        <v>720</v>
      </c>
      <c r="G36" s="3" t="s">
        <v>53</v>
      </c>
      <c r="H36" s="3" t="s">
        <v>58</v>
      </c>
      <c r="I36" s="3" t="s">
        <v>59</v>
      </c>
      <c r="J36" s="3" t="s">
        <v>63</v>
      </c>
      <c r="K36" s="3" t="s">
        <v>61</v>
      </c>
      <c r="L36" s="3" t="s">
        <v>55</v>
      </c>
      <c r="M36" s="3" t="s">
        <v>88</v>
      </c>
      <c r="N36" s="3" t="s">
        <v>72</v>
      </c>
      <c r="O36" s="3" t="s">
        <v>56</v>
      </c>
      <c r="P36" s="3" t="s">
        <v>249</v>
      </c>
      <c r="Q36" s="3" t="s">
        <v>56</v>
      </c>
      <c r="R36" s="3" t="s">
        <v>224</v>
      </c>
      <c r="S36" s="3" t="s">
        <v>56</v>
      </c>
      <c r="T36" s="3" t="s">
        <v>209</v>
      </c>
      <c r="U36" s="3" t="s">
        <v>56</v>
      </c>
      <c r="V36" s="3" t="s">
        <v>210</v>
      </c>
      <c r="W36" s="3" t="s">
        <v>56</v>
      </c>
      <c r="X36" s="3" t="s">
        <v>308</v>
      </c>
      <c r="Y36" s="3" t="s">
        <v>56</v>
      </c>
      <c r="Z36" s="3" t="s">
        <v>368</v>
      </c>
      <c r="AA36" s="3" t="s">
        <v>56</v>
      </c>
      <c r="AB36" s="3" t="s">
        <v>485</v>
      </c>
      <c r="AC36" s="3" t="s">
        <v>56</v>
      </c>
      <c r="AD36" s="3" t="s">
        <v>242</v>
      </c>
      <c r="AE36" s="3" t="s">
        <v>56</v>
      </c>
      <c r="AF36" s="3" t="s">
        <v>1075</v>
      </c>
      <c r="AG36" s="3" t="s">
        <v>56</v>
      </c>
      <c r="AH36" s="3" t="s">
        <v>1076</v>
      </c>
      <c r="AI36" s="3" t="s">
        <v>56</v>
      </c>
      <c r="AJ36" s="3" t="s">
        <v>1077</v>
      </c>
      <c r="AK36" s="3" t="s">
        <v>56</v>
      </c>
      <c r="AL36" s="3" t="s">
        <v>1078</v>
      </c>
      <c r="AM36" s="3" t="s">
        <v>56</v>
      </c>
      <c r="AN36" s="3" t="s">
        <v>1079</v>
      </c>
      <c r="AO36" s="3" t="s">
        <v>56</v>
      </c>
      <c r="AP36" s="3" t="s">
        <v>1080</v>
      </c>
      <c r="AQ36" s="3" t="s">
        <v>56</v>
      </c>
      <c r="AR36" s="3" t="s">
        <v>683</v>
      </c>
      <c r="AS36" s="3" t="s">
        <v>56</v>
      </c>
      <c r="AT36" s="3" t="s">
        <v>355</v>
      </c>
      <c r="AU36" s="3" t="s">
        <v>56</v>
      </c>
      <c r="AV36" s="3" t="s">
        <v>1081</v>
      </c>
      <c r="AW36" s="3" t="s">
        <v>56</v>
      </c>
      <c r="AX36" s="3" t="s">
        <v>236</v>
      </c>
      <c r="AY36" s="3" t="s">
        <v>56</v>
      </c>
      <c r="AZ36" s="3" t="s">
        <v>1082</v>
      </c>
      <c r="BA36" s="3" t="s">
        <v>56</v>
      </c>
      <c r="BB36" s="3" t="s">
        <v>264</v>
      </c>
      <c r="BC36" s="3" t="s">
        <v>56</v>
      </c>
      <c r="BD36" s="3" t="s">
        <v>252</v>
      </c>
      <c r="BE36" s="3" t="s">
        <v>56</v>
      </c>
      <c r="BF36" s="3" t="s">
        <v>217</v>
      </c>
      <c r="BG36" s="3" t="s">
        <v>56</v>
      </c>
      <c r="BH36" s="3" t="s">
        <v>226</v>
      </c>
      <c r="BI36" s="3" t="s">
        <v>56</v>
      </c>
      <c r="BJ36" s="3" t="s">
        <v>340</v>
      </c>
      <c r="BK36" s="3" t="s">
        <v>56</v>
      </c>
      <c r="BL36" s="3" t="s">
        <v>341</v>
      </c>
      <c r="BM36" s="3" t="s">
        <v>56</v>
      </c>
      <c r="BN36" s="3" t="s">
        <v>241</v>
      </c>
      <c r="BO36" s="3" t="s">
        <v>56</v>
      </c>
      <c r="BP36" s="3" t="s">
        <v>1083</v>
      </c>
      <c r="BQ36" s="3" t="s">
        <v>56</v>
      </c>
      <c r="BR36" s="3" t="s">
        <v>1084</v>
      </c>
      <c r="BS36" s="3" t="s">
        <v>56</v>
      </c>
      <c r="BT36" s="3" t="s">
        <v>358</v>
      </c>
      <c r="BU36" s="3" t="s">
        <v>56</v>
      </c>
      <c r="BV36" s="3" t="s">
        <v>438</v>
      </c>
      <c r="BW36" s="3" t="s">
        <v>56</v>
      </c>
      <c r="BX36" s="3" t="s">
        <v>409</v>
      </c>
      <c r="BY36" s="3" t="s">
        <v>56</v>
      </c>
      <c r="BZ36" s="3" t="s">
        <v>1085</v>
      </c>
      <c r="CA36" s="3" t="s">
        <v>56</v>
      </c>
      <c r="CB36" s="3" t="s">
        <v>623</v>
      </c>
      <c r="CC36" s="3" t="s">
        <v>56</v>
      </c>
      <c r="CD36" s="3" t="s">
        <v>989</v>
      </c>
      <c r="CE36" s="3" t="s">
        <v>56</v>
      </c>
      <c r="CF36" s="3" t="s">
        <v>1086</v>
      </c>
      <c r="CG36" s="3" t="s">
        <v>56</v>
      </c>
      <c r="CH36" s="3" t="s">
        <v>344</v>
      </c>
    </row>
    <row r="37" spans="1:86" x14ac:dyDescent="0.55000000000000004">
      <c r="A37" s="3" t="s">
        <v>1087</v>
      </c>
      <c r="B37" s="3" t="s">
        <v>1088</v>
      </c>
      <c r="C37" s="3" t="s">
        <v>67</v>
      </c>
      <c r="D37" s="3" t="s">
        <v>68</v>
      </c>
      <c r="E37" s="3" t="s">
        <v>65</v>
      </c>
      <c r="F37" s="3" t="s">
        <v>720</v>
      </c>
      <c r="G37" s="3" t="s">
        <v>53</v>
      </c>
      <c r="H37" s="3" t="s">
        <v>58</v>
      </c>
      <c r="I37" s="3" t="s">
        <v>59</v>
      </c>
      <c r="J37" s="3" t="s">
        <v>63</v>
      </c>
      <c r="K37" s="3" t="s">
        <v>61</v>
      </c>
      <c r="L37" s="3" t="s">
        <v>68</v>
      </c>
      <c r="M37" s="3" t="s">
        <v>67</v>
      </c>
      <c r="N37" s="3" t="s">
        <v>70</v>
      </c>
      <c r="O37" s="3" t="s">
        <v>56</v>
      </c>
      <c r="P37" s="3" t="s">
        <v>248</v>
      </c>
      <c r="Q37" s="3" t="s">
        <v>56</v>
      </c>
      <c r="R37" s="3" t="s">
        <v>249</v>
      </c>
      <c r="S37" s="3" t="s">
        <v>56</v>
      </c>
      <c r="T37" s="3" t="s">
        <v>224</v>
      </c>
      <c r="U37" s="3" t="s">
        <v>56</v>
      </c>
      <c r="V37" s="3" t="s">
        <v>224</v>
      </c>
      <c r="W37" s="3" t="s">
        <v>56</v>
      </c>
      <c r="X37" s="3" t="s">
        <v>465</v>
      </c>
      <c r="Y37" s="3" t="s">
        <v>56</v>
      </c>
      <c r="Z37" s="3" t="s">
        <v>490</v>
      </c>
      <c r="AA37" s="3" t="s">
        <v>56</v>
      </c>
      <c r="AB37" s="3" t="s">
        <v>213</v>
      </c>
      <c r="AC37" s="3" t="s">
        <v>56</v>
      </c>
      <c r="AD37" s="3" t="s">
        <v>277</v>
      </c>
      <c r="AE37" s="3" t="s">
        <v>56</v>
      </c>
      <c r="AF37" s="3" t="s">
        <v>1089</v>
      </c>
      <c r="AG37" s="3" t="s">
        <v>56</v>
      </c>
      <c r="AH37" s="3" t="s">
        <v>1090</v>
      </c>
      <c r="AI37" s="3" t="s">
        <v>56</v>
      </c>
      <c r="AJ37" s="3" t="s">
        <v>1091</v>
      </c>
      <c r="AK37" s="3" t="s">
        <v>56</v>
      </c>
      <c r="AL37" s="3" t="s">
        <v>1092</v>
      </c>
      <c r="AM37" s="3" t="s">
        <v>56</v>
      </c>
      <c r="AN37" s="3" t="s">
        <v>1093</v>
      </c>
      <c r="AO37" s="3" t="s">
        <v>56</v>
      </c>
      <c r="AP37" s="3" t="s">
        <v>436</v>
      </c>
      <c r="AQ37" s="3" t="s">
        <v>56</v>
      </c>
      <c r="AR37" s="3" t="s">
        <v>1094</v>
      </c>
      <c r="AS37" s="3" t="s">
        <v>56</v>
      </c>
      <c r="AT37" s="3" t="s">
        <v>431</v>
      </c>
      <c r="AU37" s="3" t="s">
        <v>56</v>
      </c>
      <c r="AV37" s="3" t="s">
        <v>1095</v>
      </c>
      <c r="AW37" s="3" t="s">
        <v>56</v>
      </c>
      <c r="AX37" s="3" t="s">
        <v>236</v>
      </c>
      <c r="AY37" s="3" t="s">
        <v>56</v>
      </c>
      <c r="AZ37" s="3" t="s">
        <v>1096</v>
      </c>
      <c r="BA37" s="3" t="s">
        <v>56</v>
      </c>
      <c r="BB37" s="3" t="s">
        <v>245</v>
      </c>
      <c r="BC37" s="3" t="s">
        <v>56</v>
      </c>
      <c r="BD37" s="3" t="s">
        <v>217</v>
      </c>
      <c r="BE37" s="3" t="s">
        <v>56</v>
      </c>
      <c r="BF37" s="3" t="s">
        <v>226</v>
      </c>
      <c r="BG37" s="3" t="s">
        <v>56</v>
      </c>
      <c r="BH37" s="3" t="s">
        <v>253</v>
      </c>
      <c r="BI37" s="3" t="s">
        <v>56</v>
      </c>
      <c r="BJ37" s="3" t="s">
        <v>358</v>
      </c>
      <c r="BK37" s="3" t="s">
        <v>56</v>
      </c>
      <c r="BL37" s="3" t="s">
        <v>408</v>
      </c>
      <c r="BM37" s="3" t="s">
        <v>56</v>
      </c>
      <c r="BN37" s="3" t="s">
        <v>344</v>
      </c>
      <c r="BO37" s="3" t="s">
        <v>56</v>
      </c>
      <c r="BP37" s="3" t="s">
        <v>1097</v>
      </c>
      <c r="BQ37" s="3" t="s">
        <v>56</v>
      </c>
      <c r="BR37" s="3" t="s">
        <v>464</v>
      </c>
      <c r="BS37" s="3" t="s">
        <v>56</v>
      </c>
      <c r="BT37" s="3" t="s">
        <v>239</v>
      </c>
      <c r="BU37" s="3" t="s">
        <v>56</v>
      </c>
      <c r="BV37" s="3" t="s">
        <v>1098</v>
      </c>
      <c r="BW37" s="3" t="s">
        <v>56</v>
      </c>
      <c r="BX37" s="3" t="s">
        <v>1099</v>
      </c>
      <c r="BY37" s="3" t="s">
        <v>56</v>
      </c>
      <c r="BZ37" s="3" t="s">
        <v>1100</v>
      </c>
      <c r="CA37" s="3" t="s">
        <v>56</v>
      </c>
      <c r="CB37" s="3" t="s">
        <v>688</v>
      </c>
      <c r="CC37" s="3" t="s">
        <v>56</v>
      </c>
      <c r="CD37" s="3" t="s">
        <v>1101</v>
      </c>
      <c r="CE37" s="3" t="s">
        <v>56</v>
      </c>
      <c r="CF37" s="3" t="s">
        <v>602</v>
      </c>
      <c r="CG37" s="3" t="s">
        <v>56</v>
      </c>
      <c r="CH37" s="3" t="s">
        <v>314</v>
      </c>
    </row>
    <row r="38" spans="1:86" x14ac:dyDescent="0.55000000000000004">
      <c r="A38" s="3" t="s">
        <v>381</v>
      </c>
      <c r="B38" s="3" t="s">
        <v>382</v>
      </c>
      <c r="C38" s="3" t="s">
        <v>64</v>
      </c>
      <c r="D38" s="3" t="s">
        <v>55</v>
      </c>
      <c r="E38" s="3" t="s">
        <v>383</v>
      </c>
      <c r="F38" s="3" t="s">
        <v>903</v>
      </c>
      <c r="G38" s="3" t="s">
        <v>53</v>
      </c>
      <c r="H38" s="3" t="s">
        <v>58</v>
      </c>
      <c r="I38" s="3" t="s">
        <v>59</v>
      </c>
      <c r="J38" s="3" t="s">
        <v>63</v>
      </c>
      <c r="K38" s="3" t="s">
        <v>61</v>
      </c>
      <c r="L38" s="3" t="s">
        <v>55</v>
      </c>
      <c r="M38" s="3" t="s">
        <v>64</v>
      </c>
      <c r="N38" s="3" t="s">
        <v>66</v>
      </c>
      <c r="O38" s="3" t="s">
        <v>56</v>
      </c>
      <c r="P38" s="3" t="s">
        <v>224</v>
      </c>
      <c r="Q38" s="3" t="s">
        <v>56</v>
      </c>
      <c r="R38" s="3" t="s">
        <v>209</v>
      </c>
      <c r="S38" s="3" t="s">
        <v>56</v>
      </c>
      <c r="T38" s="3" t="s">
        <v>210</v>
      </c>
      <c r="U38" s="3" t="s">
        <v>56</v>
      </c>
      <c r="V38" s="3" t="s">
        <v>211</v>
      </c>
      <c r="W38" s="3" t="s">
        <v>56</v>
      </c>
      <c r="X38" s="3" t="s">
        <v>302</v>
      </c>
      <c r="Y38" s="3" t="s">
        <v>56</v>
      </c>
      <c r="Z38" s="3" t="s">
        <v>376</v>
      </c>
      <c r="AA38" s="3" t="s">
        <v>56</v>
      </c>
      <c r="AB38" s="3" t="s">
        <v>398</v>
      </c>
      <c r="AC38" s="3" t="s">
        <v>56</v>
      </c>
      <c r="AD38" s="3" t="s">
        <v>387</v>
      </c>
      <c r="AE38" s="3" t="s">
        <v>56</v>
      </c>
      <c r="AF38" s="3" t="s">
        <v>1102</v>
      </c>
      <c r="AG38" s="3" t="s">
        <v>56</v>
      </c>
      <c r="AH38" s="3" t="s">
        <v>1103</v>
      </c>
      <c r="AI38" s="3" t="s">
        <v>56</v>
      </c>
      <c r="AJ38" s="3" t="s">
        <v>1104</v>
      </c>
      <c r="AK38" s="3" t="s">
        <v>56</v>
      </c>
      <c r="AL38" s="3" t="s">
        <v>1105</v>
      </c>
      <c r="AM38" s="3" t="s">
        <v>56</v>
      </c>
      <c r="AN38" s="3" t="s">
        <v>600</v>
      </c>
      <c r="AO38" s="3" t="s">
        <v>56</v>
      </c>
      <c r="AP38" s="3" t="s">
        <v>417</v>
      </c>
      <c r="AQ38" s="3" t="s">
        <v>56</v>
      </c>
      <c r="AR38" s="3" t="s">
        <v>595</v>
      </c>
      <c r="AS38" s="3" t="s">
        <v>56</v>
      </c>
      <c r="AT38" s="3" t="s">
        <v>431</v>
      </c>
      <c r="AU38" s="3" t="s">
        <v>56</v>
      </c>
      <c r="AV38" s="3" t="s">
        <v>1106</v>
      </c>
      <c r="AW38" s="3" t="s">
        <v>56</v>
      </c>
      <c r="AX38" s="3" t="s">
        <v>244</v>
      </c>
      <c r="AY38" s="3" t="s">
        <v>56</v>
      </c>
      <c r="AZ38" s="3" t="s">
        <v>668</v>
      </c>
      <c r="BA38" s="3" t="s">
        <v>56</v>
      </c>
      <c r="BB38" s="3" t="s">
        <v>217</v>
      </c>
      <c r="BC38" s="3" t="s">
        <v>56</v>
      </c>
      <c r="BD38" s="3" t="s">
        <v>237</v>
      </c>
      <c r="BE38" s="3" t="s">
        <v>56</v>
      </c>
      <c r="BF38" s="3" t="s">
        <v>264</v>
      </c>
      <c r="BG38" s="3" t="s">
        <v>56</v>
      </c>
      <c r="BH38" s="3" t="s">
        <v>270</v>
      </c>
      <c r="BI38" s="3" t="s">
        <v>56</v>
      </c>
      <c r="BJ38" s="3" t="s">
        <v>219</v>
      </c>
      <c r="BK38" s="3" t="s">
        <v>56</v>
      </c>
      <c r="BL38" s="3" t="s">
        <v>220</v>
      </c>
      <c r="BM38" s="3" t="s">
        <v>56</v>
      </c>
      <c r="BN38" s="3" t="s">
        <v>272</v>
      </c>
      <c r="BO38" s="3" t="s">
        <v>56</v>
      </c>
      <c r="BP38" s="3" t="s">
        <v>1107</v>
      </c>
      <c r="BQ38" s="3" t="s">
        <v>56</v>
      </c>
      <c r="BR38" s="3" t="s">
        <v>1108</v>
      </c>
      <c r="BS38" s="3" t="s">
        <v>56</v>
      </c>
      <c r="BT38" s="3" t="s">
        <v>421</v>
      </c>
      <c r="BU38" s="3" t="s">
        <v>56</v>
      </c>
      <c r="BV38" s="3" t="s">
        <v>610</v>
      </c>
      <c r="BW38" s="3" t="s">
        <v>56</v>
      </c>
      <c r="BX38" s="3" t="s">
        <v>1109</v>
      </c>
      <c r="BY38" s="3" t="s">
        <v>56</v>
      </c>
      <c r="BZ38" s="3" t="s">
        <v>652</v>
      </c>
      <c r="CA38" s="3" t="s">
        <v>56</v>
      </c>
      <c r="CB38" s="3" t="s">
        <v>594</v>
      </c>
      <c r="CC38" s="3" t="s">
        <v>56</v>
      </c>
      <c r="CD38" s="3" t="s">
        <v>769</v>
      </c>
      <c r="CE38" s="3" t="s">
        <v>56</v>
      </c>
      <c r="CF38" s="3" t="s">
        <v>447</v>
      </c>
      <c r="CG38" s="3" t="s">
        <v>56</v>
      </c>
      <c r="CH38" s="3" t="s">
        <v>372</v>
      </c>
    </row>
    <row r="39" spans="1:86" x14ac:dyDescent="0.55000000000000004">
      <c r="A39" s="3" t="s">
        <v>385</v>
      </c>
      <c r="B39" s="3" t="s">
        <v>386</v>
      </c>
      <c r="C39" s="3" t="s">
        <v>71</v>
      </c>
      <c r="D39" s="3" t="s">
        <v>68</v>
      </c>
      <c r="E39" s="3" t="s">
        <v>383</v>
      </c>
      <c r="F39" s="3" t="s">
        <v>903</v>
      </c>
      <c r="G39" s="3" t="s">
        <v>53</v>
      </c>
      <c r="H39" s="3" t="s">
        <v>58</v>
      </c>
      <c r="I39" s="3" t="s">
        <v>59</v>
      </c>
      <c r="J39" s="3" t="s">
        <v>63</v>
      </c>
      <c r="K39" s="3" t="s">
        <v>61</v>
      </c>
      <c r="L39" s="3" t="s">
        <v>68</v>
      </c>
      <c r="M39" s="3" t="s">
        <v>71</v>
      </c>
      <c r="N39" s="3" t="s">
        <v>75</v>
      </c>
      <c r="O39" s="3" t="s">
        <v>56</v>
      </c>
      <c r="P39" s="3" t="s">
        <v>249</v>
      </c>
      <c r="Q39" s="3" t="s">
        <v>56</v>
      </c>
      <c r="R39" s="3" t="s">
        <v>224</v>
      </c>
      <c r="S39" s="3" t="s">
        <v>56</v>
      </c>
      <c r="T39" s="3" t="s">
        <v>209</v>
      </c>
      <c r="U39" s="3" t="s">
        <v>56</v>
      </c>
      <c r="V39" s="3" t="s">
        <v>210</v>
      </c>
      <c r="W39" s="3" t="s">
        <v>56</v>
      </c>
      <c r="X39" s="3" t="s">
        <v>265</v>
      </c>
      <c r="Y39" s="3" t="s">
        <v>56</v>
      </c>
      <c r="Z39" s="3" t="s">
        <v>343</v>
      </c>
      <c r="AA39" s="3" t="s">
        <v>56</v>
      </c>
      <c r="AB39" s="3" t="s">
        <v>280</v>
      </c>
      <c r="AC39" s="3" t="s">
        <v>56</v>
      </c>
      <c r="AD39" s="3" t="s">
        <v>377</v>
      </c>
      <c r="AE39" s="3" t="s">
        <v>56</v>
      </c>
      <c r="AF39" s="3" t="s">
        <v>1110</v>
      </c>
      <c r="AG39" s="3" t="s">
        <v>56</v>
      </c>
      <c r="AH39" s="3" t="s">
        <v>1111</v>
      </c>
      <c r="AI39" s="3" t="s">
        <v>56</v>
      </c>
      <c r="AJ39" s="3" t="s">
        <v>1112</v>
      </c>
      <c r="AK39" s="3" t="s">
        <v>56</v>
      </c>
      <c r="AL39" s="3" t="s">
        <v>630</v>
      </c>
      <c r="AM39" s="3" t="s">
        <v>56</v>
      </c>
      <c r="AN39" s="3" t="s">
        <v>452</v>
      </c>
      <c r="AO39" s="3" t="s">
        <v>56</v>
      </c>
      <c r="AP39" s="3" t="s">
        <v>251</v>
      </c>
      <c r="AQ39" s="3" t="s">
        <v>56</v>
      </c>
      <c r="AR39" s="3" t="s">
        <v>603</v>
      </c>
      <c r="AS39" s="3" t="s">
        <v>56</v>
      </c>
      <c r="AT39" s="3" t="s">
        <v>225</v>
      </c>
      <c r="AU39" s="3" t="s">
        <v>56</v>
      </c>
      <c r="AV39" s="3" t="s">
        <v>635</v>
      </c>
      <c r="AW39" s="3" t="s">
        <v>56</v>
      </c>
      <c r="AX39" s="3" t="s">
        <v>299</v>
      </c>
      <c r="AY39" s="3" t="s">
        <v>56</v>
      </c>
      <c r="AZ39" s="3" t="s">
        <v>1113</v>
      </c>
      <c r="BA39" s="3" t="s">
        <v>56</v>
      </c>
      <c r="BB39" s="3" t="s">
        <v>245</v>
      </c>
      <c r="BC39" s="3" t="s">
        <v>56</v>
      </c>
      <c r="BD39" s="3" t="s">
        <v>237</v>
      </c>
      <c r="BE39" s="3" t="s">
        <v>56</v>
      </c>
      <c r="BF39" s="3" t="s">
        <v>245</v>
      </c>
      <c r="BG39" s="3" t="s">
        <v>56</v>
      </c>
      <c r="BH39" s="3" t="s">
        <v>226</v>
      </c>
      <c r="BI39" s="3" t="s">
        <v>56</v>
      </c>
      <c r="BJ39" s="3" t="s">
        <v>254</v>
      </c>
      <c r="BK39" s="3" t="s">
        <v>56</v>
      </c>
      <c r="BL39" s="3" t="s">
        <v>255</v>
      </c>
      <c r="BM39" s="3" t="s">
        <v>56</v>
      </c>
      <c r="BN39" s="3" t="s">
        <v>221</v>
      </c>
      <c r="BO39" s="3" t="s">
        <v>56</v>
      </c>
      <c r="BP39" s="3" t="s">
        <v>705</v>
      </c>
      <c r="BQ39" s="3" t="s">
        <v>56</v>
      </c>
      <c r="BR39" s="3" t="s">
        <v>1114</v>
      </c>
      <c r="BS39" s="3" t="s">
        <v>56</v>
      </c>
      <c r="BT39" s="3" t="s">
        <v>239</v>
      </c>
      <c r="BU39" s="3" t="s">
        <v>56</v>
      </c>
      <c r="BV39" s="3" t="s">
        <v>944</v>
      </c>
      <c r="BW39" s="3" t="s">
        <v>56</v>
      </c>
      <c r="BX39" s="3" t="s">
        <v>1115</v>
      </c>
      <c r="BY39" s="3" t="s">
        <v>56</v>
      </c>
      <c r="BZ39" s="3" t="s">
        <v>1059</v>
      </c>
      <c r="CA39" s="3" t="s">
        <v>56</v>
      </c>
      <c r="CB39" s="3" t="s">
        <v>619</v>
      </c>
      <c r="CC39" s="3" t="s">
        <v>56</v>
      </c>
      <c r="CD39" s="3" t="s">
        <v>1116</v>
      </c>
      <c r="CE39" s="3" t="s">
        <v>56</v>
      </c>
      <c r="CF39" s="3" t="s">
        <v>242</v>
      </c>
      <c r="CG39" s="3" t="s">
        <v>56</v>
      </c>
      <c r="CH39" s="3" t="s">
        <v>372</v>
      </c>
    </row>
    <row r="40" spans="1:86" x14ac:dyDescent="0.55000000000000004">
      <c r="A40" s="3" t="s">
        <v>475</v>
      </c>
      <c r="B40" s="3" t="s">
        <v>476</v>
      </c>
      <c r="C40" s="3" t="s">
        <v>64</v>
      </c>
      <c r="D40" s="3" t="s">
        <v>55</v>
      </c>
      <c r="E40" s="3" t="s">
        <v>76</v>
      </c>
      <c r="F40" s="3" t="s">
        <v>732</v>
      </c>
      <c r="G40" s="3" t="s">
        <v>53</v>
      </c>
      <c r="H40" s="3" t="s">
        <v>58</v>
      </c>
      <c r="I40" s="3" t="s">
        <v>59</v>
      </c>
      <c r="J40" s="3" t="s">
        <v>63</v>
      </c>
      <c r="K40" s="3" t="s">
        <v>61</v>
      </c>
      <c r="L40" s="3" t="s">
        <v>55</v>
      </c>
      <c r="M40" s="3" t="s">
        <v>64</v>
      </c>
      <c r="N40" s="3" t="s">
        <v>66</v>
      </c>
      <c r="O40" s="3" t="s">
        <v>56</v>
      </c>
      <c r="P40" s="3" t="s">
        <v>224</v>
      </c>
      <c r="Q40" s="3" t="s">
        <v>56</v>
      </c>
      <c r="R40" s="3" t="s">
        <v>209</v>
      </c>
      <c r="S40" s="3" t="s">
        <v>56</v>
      </c>
      <c r="T40" s="3" t="s">
        <v>210</v>
      </c>
      <c r="U40" s="3" t="s">
        <v>56</v>
      </c>
      <c r="V40" s="3" t="s">
        <v>211</v>
      </c>
      <c r="W40" s="3" t="s">
        <v>56</v>
      </c>
      <c r="X40" s="3" t="s">
        <v>490</v>
      </c>
      <c r="Y40" s="3" t="s">
        <v>56</v>
      </c>
      <c r="Z40" s="3" t="s">
        <v>259</v>
      </c>
      <c r="AA40" s="3" t="s">
        <v>56</v>
      </c>
      <c r="AB40" s="3" t="s">
        <v>406</v>
      </c>
      <c r="AC40" s="3" t="s">
        <v>56</v>
      </c>
      <c r="AD40" s="3" t="s">
        <v>294</v>
      </c>
      <c r="AE40" s="3" t="s">
        <v>56</v>
      </c>
      <c r="AF40" s="3" t="s">
        <v>636</v>
      </c>
      <c r="AG40" s="3" t="s">
        <v>56</v>
      </c>
      <c r="AH40" s="3" t="s">
        <v>1117</v>
      </c>
      <c r="AI40" s="3" t="s">
        <v>56</v>
      </c>
      <c r="AJ40" s="3" t="s">
        <v>1118</v>
      </c>
      <c r="AK40" s="3" t="s">
        <v>56</v>
      </c>
      <c r="AL40" s="3" t="s">
        <v>1119</v>
      </c>
      <c r="AM40" s="3" t="s">
        <v>56</v>
      </c>
      <c r="AN40" s="3" t="s">
        <v>1120</v>
      </c>
      <c r="AO40" s="3" t="s">
        <v>56</v>
      </c>
      <c r="AP40" s="3" t="s">
        <v>293</v>
      </c>
      <c r="AQ40" s="3" t="s">
        <v>56</v>
      </c>
      <c r="AR40" s="3" t="s">
        <v>621</v>
      </c>
      <c r="AS40" s="3" t="s">
        <v>56</v>
      </c>
      <c r="AT40" s="3" t="s">
        <v>293</v>
      </c>
      <c r="AU40" s="3" t="s">
        <v>56</v>
      </c>
      <c r="AV40" s="3" t="s">
        <v>881</v>
      </c>
      <c r="AW40" s="3" t="s">
        <v>56</v>
      </c>
      <c r="AX40" s="3" t="s">
        <v>699</v>
      </c>
      <c r="AY40" s="3" t="s">
        <v>56</v>
      </c>
      <c r="AZ40" s="3" t="s">
        <v>1121</v>
      </c>
      <c r="BA40" s="3" t="s">
        <v>56</v>
      </c>
      <c r="BB40" s="3" t="s">
        <v>245</v>
      </c>
      <c r="BC40" s="3" t="s">
        <v>56</v>
      </c>
      <c r="BD40" s="3" t="s">
        <v>237</v>
      </c>
      <c r="BE40" s="3" t="s">
        <v>56</v>
      </c>
      <c r="BF40" s="3" t="s">
        <v>245</v>
      </c>
      <c r="BG40" s="3" t="s">
        <v>56</v>
      </c>
      <c r="BH40" s="3" t="s">
        <v>217</v>
      </c>
      <c r="BI40" s="3" t="s">
        <v>56</v>
      </c>
      <c r="BJ40" s="3" t="s">
        <v>369</v>
      </c>
      <c r="BK40" s="3" t="s">
        <v>56</v>
      </c>
      <c r="BL40" s="3" t="s">
        <v>370</v>
      </c>
      <c r="BM40" s="3" t="s">
        <v>56</v>
      </c>
      <c r="BN40" s="3" t="s">
        <v>221</v>
      </c>
      <c r="BO40" s="3" t="s">
        <v>56</v>
      </c>
      <c r="BP40" s="3" t="s">
        <v>1122</v>
      </c>
      <c r="BQ40" s="3" t="s">
        <v>56</v>
      </c>
      <c r="BR40" s="3" t="s">
        <v>1123</v>
      </c>
      <c r="BS40" s="3" t="s">
        <v>56</v>
      </c>
      <c r="BT40" s="3" t="s">
        <v>247</v>
      </c>
      <c r="BU40" s="3" t="s">
        <v>56</v>
      </c>
      <c r="BV40" s="3" t="s">
        <v>863</v>
      </c>
      <c r="BW40" s="3" t="s">
        <v>56</v>
      </c>
      <c r="BX40" s="3" t="s">
        <v>480</v>
      </c>
      <c r="BY40" s="3" t="s">
        <v>56</v>
      </c>
      <c r="BZ40" s="3" t="s">
        <v>681</v>
      </c>
      <c r="CA40" s="3" t="s">
        <v>56</v>
      </c>
      <c r="CB40" s="3" t="s">
        <v>491</v>
      </c>
      <c r="CC40" s="3" t="s">
        <v>56</v>
      </c>
      <c r="CD40" s="3" t="s">
        <v>1124</v>
      </c>
      <c r="CE40" s="3" t="s">
        <v>56</v>
      </c>
      <c r="CF40" s="3" t="s">
        <v>232</v>
      </c>
      <c r="CG40" s="3" t="s">
        <v>56</v>
      </c>
      <c r="CH40" s="3" t="s">
        <v>602</v>
      </c>
    </row>
    <row r="41" spans="1:86" x14ac:dyDescent="0.55000000000000004">
      <c r="A41" s="3" t="s">
        <v>666</v>
      </c>
      <c r="B41" s="3" t="s">
        <v>667</v>
      </c>
      <c r="C41" s="3" t="s">
        <v>64</v>
      </c>
      <c r="D41" s="3" t="s">
        <v>68</v>
      </c>
      <c r="E41" s="3" t="s">
        <v>94</v>
      </c>
      <c r="F41" s="3" t="s">
        <v>720</v>
      </c>
      <c r="G41" s="3" t="s">
        <v>53</v>
      </c>
      <c r="H41" s="3" t="s">
        <v>58</v>
      </c>
      <c r="I41" s="3" t="s">
        <v>59</v>
      </c>
      <c r="J41" s="3" t="s">
        <v>63</v>
      </c>
      <c r="K41" s="3" t="s">
        <v>61</v>
      </c>
      <c r="L41" s="3" t="s">
        <v>68</v>
      </c>
      <c r="M41" s="3" t="s">
        <v>64</v>
      </c>
      <c r="N41" s="3" t="s">
        <v>66</v>
      </c>
      <c r="O41" s="3" t="s">
        <v>56</v>
      </c>
      <c r="P41" s="3" t="s">
        <v>224</v>
      </c>
      <c r="Q41" s="3" t="s">
        <v>56</v>
      </c>
      <c r="R41" s="3" t="s">
        <v>209</v>
      </c>
      <c r="S41" s="3" t="s">
        <v>56</v>
      </c>
      <c r="T41" s="3" t="s">
        <v>210</v>
      </c>
      <c r="U41" s="3" t="s">
        <v>56</v>
      </c>
      <c r="V41" s="3" t="s">
        <v>211</v>
      </c>
      <c r="W41" s="3" t="s">
        <v>56</v>
      </c>
      <c r="X41" s="3" t="s">
        <v>352</v>
      </c>
      <c r="Y41" s="3" t="s">
        <v>56</v>
      </c>
      <c r="Z41" s="3" t="s">
        <v>398</v>
      </c>
      <c r="AA41" s="3" t="s">
        <v>56</v>
      </c>
      <c r="AB41" s="3" t="s">
        <v>268</v>
      </c>
      <c r="AC41" s="3" t="s">
        <v>56</v>
      </c>
      <c r="AD41" s="3" t="s">
        <v>287</v>
      </c>
      <c r="AE41" s="3" t="s">
        <v>56</v>
      </c>
      <c r="AF41" s="3" t="s">
        <v>1125</v>
      </c>
      <c r="AG41" s="3" t="s">
        <v>56</v>
      </c>
      <c r="AH41" s="3" t="s">
        <v>1126</v>
      </c>
      <c r="AI41" s="3" t="s">
        <v>56</v>
      </c>
      <c r="AJ41" s="3" t="s">
        <v>1127</v>
      </c>
      <c r="AK41" s="3" t="s">
        <v>56</v>
      </c>
      <c r="AL41" s="3" t="s">
        <v>1128</v>
      </c>
      <c r="AM41" s="3" t="s">
        <v>56</v>
      </c>
      <c r="AN41" s="3" t="s">
        <v>950</v>
      </c>
      <c r="AO41" s="3" t="s">
        <v>56</v>
      </c>
      <c r="AP41" s="3" t="s">
        <v>725</v>
      </c>
      <c r="AQ41" s="3" t="s">
        <v>56</v>
      </c>
      <c r="AR41" s="3" t="s">
        <v>266</v>
      </c>
      <c r="AS41" s="3" t="s">
        <v>56</v>
      </c>
      <c r="AT41" s="3" t="s">
        <v>355</v>
      </c>
      <c r="AU41" s="3" t="s">
        <v>56</v>
      </c>
      <c r="AV41" s="3" t="s">
        <v>1003</v>
      </c>
      <c r="AW41" s="3" t="s">
        <v>56</v>
      </c>
      <c r="AX41" s="3" t="s">
        <v>244</v>
      </c>
      <c r="AY41" s="3" t="s">
        <v>56</v>
      </c>
      <c r="AZ41" s="3" t="s">
        <v>1129</v>
      </c>
      <c r="BA41" s="3" t="s">
        <v>56</v>
      </c>
      <c r="BB41" s="3" t="s">
        <v>264</v>
      </c>
      <c r="BC41" s="3" t="s">
        <v>56</v>
      </c>
      <c r="BD41" s="3" t="s">
        <v>237</v>
      </c>
      <c r="BE41" s="3" t="s">
        <v>56</v>
      </c>
      <c r="BF41" s="3" t="s">
        <v>252</v>
      </c>
      <c r="BG41" s="3" t="s">
        <v>56</v>
      </c>
      <c r="BH41" s="3" t="s">
        <v>264</v>
      </c>
      <c r="BI41" s="3" t="s">
        <v>56</v>
      </c>
      <c r="BJ41" s="3" t="s">
        <v>589</v>
      </c>
      <c r="BK41" s="3" t="s">
        <v>56</v>
      </c>
      <c r="BL41" s="3" t="s">
        <v>590</v>
      </c>
      <c r="BM41" s="3" t="s">
        <v>56</v>
      </c>
      <c r="BN41" s="3" t="s">
        <v>272</v>
      </c>
      <c r="BO41" s="3" t="s">
        <v>56</v>
      </c>
      <c r="BP41" s="3" t="s">
        <v>1130</v>
      </c>
      <c r="BQ41" s="3" t="s">
        <v>56</v>
      </c>
      <c r="BR41" s="3" t="s">
        <v>1131</v>
      </c>
      <c r="BS41" s="3" t="s">
        <v>56</v>
      </c>
      <c r="BT41" s="3" t="s">
        <v>247</v>
      </c>
      <c r="BU41" s="3" t="s">
        <v>56</v>
      </c>
      <c r="BV41" s="3" t="s">
        <v>391</v>
      </c>
      <c r="BW41" s="3" t="s">
        <v>56</v>
      </c>
      <c r="BX41" s="3" t="s">
        <v>1109</v>
      </c>
      <c r="BY41" s="3" t="s">
        <v>56</v>
      </c>
      <c r="BZ41" s="3" t="s">
        <v>298</v>
      </c>
      <c r="CA41" s="3" t="s">
        <v>56</v>
      </c>
      <c r="CB41" s="3" t="s">
        <v>938</v>
      </c>
      <c r="CC41" s="3" t="s">
        <v>56</v>
      </c>
      <c r="CD41" s="3" t="s">
        <v>347</v>
      </c>
      <c r="CE41" s="3" t="s">
        <v>56</v>
      </c>
      <c r="CF41" s="3" t="s">
        <v>392</v>
      </c>
      <c r="CG41" s="3" t="s">
        <v>56</v>
      </c>
      <c r="CH41" s="3" t="s">
        <v>297</v>
      </c>
    </row>
    <row r="42" spans="1:86" x14ac:dyDescent="0.55000000000000004">
      <c r="A42" s="3" t="s">
        <v>482</v>
      </c>
      <c r="B42" s="3" t="s">
        <v>483</v>
      </c>
      <c r="C42" s="3" t="s">
        <v>54</v>
      </c>
      <c r="D42" s="3" t="s">
        <v>55</v>
      </c>
      <c r="E42" s="3" t="s">
        <v>65</v>
      </c>
      <c r="F42" s="3" t="s">
        <v>876</v>
      </c>
      <c r="G42" s="3" t="s">
        <v>53</v>
      </c>
      <c r="H42" s="3" t="s">
        <v>58</v>
      </c>
      <c r="I42" s="3" t="s">
        <v>59</v>
      </c>
      <c r="J42" s="3" t="s">
        <v>63</v>
      </c>
      <c r="K42" s="3" t="s">
        <v>61</v>
      </c>
      <c r="L42" s="3" t="s">
        <v>55</v>
      </c>
      <c r="M42" s="3" t="s">
        <v>54</v>
      </c>
      <c r="N42" s="3" t="s">
        <v>62</v>
      </c>
      <c r="O42" s="3" t="s">
        <v>56</v>
      </c>
      <c r="P42" s="3" t="s">
        <v>224</v>
      </c>
      <c r="Q42" s="3" t="s">
        <v>56</v>
      </c>
      <c r="R42" s="3" t="s">
        <v>209</v>
      </c>
      <c r="S42" s="3" t="s">
        <v>56</v>
      </c>
      <c r="T42" s="3" t="s">
        <v>210</v>
      </c>
      <c r="U42" s="3" t="s">
        <v>56</v>
      </c>
      <c r="V42" s="3" t="s">
        <v>211</v>
      </c>
      <c r="W42" s="3" t="s">
        <v>56</v>
      </c>
      <c r="X42" s="3" t="s">
        <v>599</v>
      </c>
      <c r="Y42" s="3" t="s">
        <v>56</v>
      </c>
      <c r="Z42" s="3" t="s">
        <v>392</v>
      </c>
      <c r="AA42" s="3" t="s">
        <v>56</v>
      </c>
      <c r="AB42" s="3" t="s">
        <v>233</v>
      </c>
      <c r="AC42" s="3" t="s">
        <v>56</v>
      </c>
      <c r="AD42" s="3" t="s">
        <v>277</v>
      </c>
      <c r="AE42" s="3" t="s">
        <v>56</v>
      </c>
      <c r="AF42" s="3" t="s">
        <v>1132</v>
      </c>
      <c r="AG42" s="3" t="s">
        <v>56</v>
      </c>
      <c r="AH42" s="3" t="s">
        <v>1133</v>
      </c>
      <c r="AI42" s="3" t="s">
        <v>56</v>
      </c>
      <c r="AJ42" s="3" t="s">
        <v>1134</v>
      </c>
      <c r="AK42" s="3" t="s">
        <v>56</v>
      </c>
      <c r="AL42" s="3" t="s">
        <v>1135</v>
      </c>
      <c r="AM42" s="3" t="s">
        <v>56</v>
      </c>
      <c r="AN42" s="3" t="s">
        <v>713</v>
      </c>
      <c r="AO42" s="3" t="s">
        <v>56</v>
      </c>
      <c r="AP42" s="3" t="s">
        <v>1061</v>
      </c>
      <c r="AQ42" s="3" t="s">
        <v>56</v>
      </c>
      <c r="AR42" s="3" t="s">
        <v>348</v>
      </c>
      <c r="AS42" s="3" t="s">
        <v>56</v>
      </c>
      <c r="AT42" s="3" t="s">
        <v>417</v>
      </c>
      <c r="AU42" s="3" t="s">
        <v>56</v>
      </c>
      <c r="AV42" s="3" t="s">
        <v>1136</v>
      </c>
      <c r="AW42" s="3" t="s">
        <v>56</v>
      </c>
      <c r="AX42" s="3" t="s">
        <v>236</v>
      </c>
      <c r="AY42" s="3" t="s">
        <v>56</v>
      </c>
      <c r="AZ42" s="3" t="s">
        <v>1137</v>
      </c>
      <c r="BA42" s="3" t="s">
        <v>56</v>
      </c>
      <c r="BB42" s="3" t="s">
        <v>217</v>
      </c>
      <c r="BC42" s="3" t="s">
        <v>56</v>
      </c>
      <c r="BD42" s="3" t="s">
        <v>237</v>
      </c>
      <c r="BE42" s="3" t="s">
        <v>56</v>
      </c>
      <c r="BF42" s="3" t="s">
        <v>237</v>
      </c>
      <c r="BG42" s="3" t="s">
        <v>56</v>
      </c>
      <c r="BH42" s="3" t="s">
        <v>245</v>
      </c>
      <c r="BI42" s="3" t="s">
        <v>56</v>
      </c>
      <c r="BJ42" s="3" t="s">
        <v>300</v>
      </c>
      <c r="BK42" s="3" t="s">
        <v>56</v>
      </c>
      <c r="BL42" s="3" t="s">
        <v>478</v>
      </c>
      <c r="BM42" s="3" t="s">
        <v>56</v>
      </c>
      <c r="BN42" s="3" t="s">
        <v>221</v>
      </c>
      <c r="BO42" s="3" t="s">
        <v>56</v>
      </c>
      <c r="BP42" s="3" t="s">
        <v>1138</v>
      </c>
      <c r="BQ42" s="3" t="s">
        <v>56</v>
      </c>
      <c r="BR42" s="3" t="s">
        <v>1139</v>
      </c>
      <c r="BS42" s="3" t="s">
        <v>56</v>
      </c>
      <c r="BT42" s="3" t="s">
        <v>239</v>
      </c>
      <c r="BU42" s="3" t="s">
        <v>56</v>
      </c>
      <c r="BV42" s="3" t="s">
        <v>1140</v>
      </c>
      <c r="BW42" s="3" t="s">
        <v>56</v>
      </c>
      <c r="BX42" s="3" t="s">
        <v>396</v>
      </c>
      <c r="BY42" s="3" t="s">
        <v>56</v>
      </c>
      <c r="BZ42" s="3" t="s">
        <v>1141</v>
      </c>
      <c r="CA42" s="3" t="s">
        <v>56</v>
      </c>
      <c r="CB42" s="3" t="s">
        <v>598</v>
      </c>
      <c r="CC42" s="3" t="s">
        <v>56</v>
      </c>
      <c r="CD42" s="3" t="s">
        <v>1142</v>
      </c>
      <c r="CE42" s="3" t="s">
        <v>56</v>
      </c>
      <c r="CF42" s="3" t="s">
        <v>641</v>
      </c>
      <c r="CG42" s="3" t="s">
        <v>56</v>
      </c>
      <c r="CH42" s="3" t="s">
        <v>258</v>
      </c>
    </row>
    <row r="43" spans="1:86" x14ac:dyDescent="0.55000000000000004">
      <c r="A43" s="3" t="s">
        <v>1143</v>
      </c>
      <c r="B43" s="3" t="s">
        <v>1144</v>
      </c>
      <c r="C43" s="3" t="s">
        <v>71</v>
      </c>
      <c r="D43" s="3" t="s">
        <v>55</v>
      </c>
      <c r="E43" s="3" t="s">
        <v>76</v>
      </c>
      <c r="F43" s="3" t="s">
        <v>777</v>
      </c>
      <c r="G43" s="3" t="s">
        <v>53</v>
      </c>
      <c r="H43" s="3" t="s">
        <v>58</v>
      </c>
      <c r="I43" s="3" t="s">
        <v>59</v>
      </c>
      <c r="J43" s="3" t="s">
        <v>63</v>
      </c>
      <c r="K43" s="3" t="s">
        <v>61</v>
      </c>
      <c r="L43" s="3" t="s">
        <v>55</v>
      </c>
      <c r="M43" s="3" t="s">
        <v>71</v>
      </c>
      <c r="N43" s="3" t="s">
        <v>75</v>
      </c>
      <c r="O43" s="3" t="s">
        <v>56</v>
      </c>
      <c r="P43" s="3" t="s">
        <v>249</v>
      </c>
      <c r="Q43" s="3" t="s">
        <v>56</v>
      </c>
      <c r="R43" s="3" t="s">
        <v>224</v>
      </c>
      <c r="S43" s="3" t="s">
        <v>56</v>
      </c>
      <c r="T43" s="3" t="s">
        <v>209</v>
      </c>
      <c r="U43" s="3" t="s">
        <v>56</v>
      </c>
      <c r="V43" s="3" t="s">
        <v>210</v>
      </c>
      <c r="W43" s="3" t="s">
        <v>56</v>
      </c>
      <c r="X43" s="3" t="s">
        <v>415</v>
      </c>
      <c r="Y43" s="3" t="s">
        <v>56</v>
      </c>
      <c r="Z43" s="3" t="s">
        <v>242</v>
      </c>
      <c r="AA43" s="3" t="s">
        <v>56</v>
      </c>
      <c r="AB43" s="3" t="s">
        <v>477</v>
      </c>
      <c r="AC43" s="3" t="s">
        <v>56</v>
      </c>
      <c r="AD43" s="3" t="s">
        <v>277</v>
      </c>
      <c r="AE43" s="3" t="s">
        <v>56</v>
      </c>
      <c r="AF43" s="3" t="s">
        <v>694</v>
      </c>
      <c r="AG43" s="3" t="s">
        <v>56</v>
      </c>
      <c r="AH43" s="3" t="s">
        <v>1145</v>
      </c>
      <c r="AI43" s="3" t="s">
        <v>56</v>
      </c>
      <c r="AJ43" s="3" t="s">
        <v>1146</v>
      </c>
      <c r="AK43" s="3" t="s">
        <v>56</v>
      </c>
      <c r="AL43" s="3" t="s">
        <v>1147</v>
      </c>
      <c r="AM43" s="3" t="s">
        <v>56</v>
      </c>
      <c r="AN43" s="3" t="s">
        <v>626</v>
      </c>
      <c r="AO43" s="3" t="s">
        <v>56</v>
      </c>
      <c r="AP43" s="3" t="s">
        <v>323</v>
      </c>
      <c r="AQ43" s="3" t="s">
        <v>56</v>
      </c>
      <c r="AR43" s="3" t="s">
        <v>401</v>
      </c>
      <c r="AS43" s="3" t="s">
        <v>56</v>
      </c>
      <c r="AT43" s="3" t="s">
        <v>269</v>
      </c>
      <c r="AU43" s="3" t="s">
        <v>56</v>
      </c>
      <c r="AV43" s="3" t="s">
        <v>1148</v>
      </c>
      <c r="AW43" s="3" t="s">
        <v>56</v>
      </c>
      <c r="AX43" s="3" t="s">
        <v>366</v>
      </c>
      <c r="AY43" s="3" t="s">
        <v>56</v>
      </c>
      <c r="AZ43" s="3" t="s">
        <v>1149</v>
      </c>
      <c r="BA43" s="3" t="s">
        <v>56</v>
      </c>
      <c r="BB43" s="3" t="s">
        <v>217</v>
      </c>
      <c r="BC43" s="3" t="s">
        <v>56</v>
      </c>
      <c r="BD43" s="3" t="s">
        <v>237</v>
      </c>
      <c r="BE43" s="3" t="s">
        <v>56</v>
      </c>
      <c r="BF43" s="3" t="s">
        <v>252</v>
      </c>
      <c r="BG43" s="3" t="s">
        <v>56</v>
      </c>
      <c r="BH43" s="3" t="s">
        <v>218</v>
      </c>
      <c r="BI43" s="3" t="s">
        <v>56</v>
      </c>
      <c r="BJ43" s="3" t="s">
        <v>275</v>
      </c>
      <c r="BK43" s="3" t="s">
        <v>56</v>
      </c>
      <c r="BL43" s="3" t="s">
        <v>289</v>
      </c>
      <c r="BM43" s="3" t="s">
        <v>56</v>
      </c>
      <c r="BN43" s="3" t="s">
        <v>229</v>
      </c>
      <c r="BO43" s="3" t="s">
        <v>56</v>
      </c>
      <c r="BP43" s="3" t="s">
        <v>1150</v>
      </c>
      <c r="BQ43" s="3" t="s">
        <v>56</v>
      </c>
      <c r="BR43" s="3" t="s">
        <v>1151</v>
      </c>
      <c r="BS43" s="3" t="s">
        <v>56</v>
      </c>
      <c r="BT43" s="3" t="s">
        <v>239</v>
      </c>
      <c r="BU43" s="3" t="s">
        <v>56</v>
      </c>
      <c r="BV43" s="3" t="s">
        <v>809</v>
      </c>
      <c r="BW43" s="3" t="s">
        <v>56</v>
      </c>
      <c r="BX43" s="3" t="s">
        <v>809</v>
      </c>
      <c r="BY43" s="3" t="s">
        <v>56</v>
      </c>
      <c r="BZ43" s="3" t="s">
        <v>612</v>
      </c>
      <c r="CA43" s="3" t="s">
        <v>56</v>
      </c>
      <c r="CB43" s="3" t="s">
        <v>378</v>
      </c>
      <c r="CC43" s="3" t="s">
        <v>56</v>
      </c>
      <c r="CD43" s="3" t="s">
        <v>596</v>
      </c>
      <c r="CE43" s="3" t="s">
        <v>56</v>
      </c>
      <c r="CF43" s="3" t="s">
        <v>411</v>
      </c>
      <c r="CG43" s="3" t="s">
        <v>56</v>
      </c>
      <c r="CH43" s="3" t="s">
        <v>260</v>
      </c>
    </row>
    <row r="44" spans="1:86" x14ac:dyDescent="0.55000000000000004">
      <c r="A44" s="3" t="s">
        <v>1152</v>
      </c>
      <c r="B44" s="3" t="s">
        <v>1153</v>
      </c>
      <c r="C44" s="3" t="s">
        <v>88</v>
      </c>
      <c r="D44" s="3" t="s">
        <v>68</v>
      </c>
      <c r="E44" s="3" t="s">
        <v>76</v>
      </c>
      <c r="F44" s="3" t="s">
        <v>777</v>
      </c>
      <c r="G44" s="3" t="s">
        <v>53</v>
      </c>
      <c r="H44" s="3" t="s">
        <v>58</v>
      </c>
      <c r="I44" s="3" t="s">
        <v>59</v>
      </c>
      <c r="J44" s="3" t="s">
        <v>63</v>
      </c>
      <c r="K44" s="3" t="s">
        <v>61</v>
      </c>
      <c r="L44" s="3" t="s">
        <v>68</v>
      </c>
      <c r="M44" s="3" t="s">
        <v>88</v>
      </c>
      <c r="N44" s="3" t="s">
        <v>72</v>
      </c>
      <c r="O44" s="3" t="s">
        <v>56</v>
      </c>
      <c r="P44" s="3" t="s">
        <v>249</v>
      </c>
      <c r="Q44" s="3" t="s">
        <v>56</v>
      </c>
      <c r="R44" s="3" t="s">
        <v>224</v>
      </c>
      <c r="S44" s="3" t="s">
        <v>56</v>
      </c>
      <c r="T44" s="3" t="s">
        <v>209</v>
      </c>
      <c r="U44" s="3" t="s">
        <v>56</v>
      </c>
      <c r="V44" s="3" t="s">
        <v>210</v>
      </c>
      <c r="W44" s="3" t="s">
        <v>56</v>
      </c>
      <c r="X44" s="3" t="s">
        <v>286</v>
      </c>
      <c r="Y44" s="3" t="s">
        <v>56</v>
      </c>
      <c r="Z44" s="3" t="s">
        <v>232</v>
      </c>
      <c r="AA44" s="3" t="s">
        <v>56</v>
      </c>
      <c r="AB44" s="3" t="s">
        <v>302</v>
      </c>
      <c r="AC44" s="3" t="s">
        <v>56</v>
      </c>
      <c r="AD44" s="3" t="s">
        <v>304</v>
      </c>
      <c r="AE44" s="3" t="s">
        <v>56</v>
      </c>
      <c r="AF44" s="3" t="s">
        <v>1154</v>
      </c>
      <c r="AG44" s="3" t="s">
        <v>56</v>
      </c>
      <c r="AH44" s="3" t="s">
        <v>1155</v>
      </c>
      <c r="AI44" s="3" t="s">
        <v>56</v>
      </c>
      <c r="AJ44" s="3" t="s">
        <v>1156</v>
      </c>
      <c r="AK44" s="3" t="s">
        <v>56</v>
      </c>
      <c r="AL44" s="3" t="s">
        <v>1157</v>
      </c>
      <c r="AM44" s="3" t="s">
        <v>56</v>
      </c>
      <c r="AN44" s="3" t="s">
        <v>1158</v>
      </c>
      <c r="AO44" s="3" t="s">
        <v>56</v>
      </c>
      <c r="AP44" s="3" t="s">
        <v>769</v>
      </c>
      <c r="AQ44" s="3" t="s">
        <v>56</v>
      </c>
      <c r="AR44" s="3" t="s">
        <v>729</v>
      </c>
      <c r="AS44" s="3" t="s">
        <v>56</v>
      </c>
      <c r="AT44" s="3" t="s">
        <v>293</v>
      </c>
      <c r="AU44" s="3" t="s">
        <v>56</v>
      </c>
      <c r="AV44" s="3" t="s">
        <v>635</v>
      </c>
      <c r="AW44" s="3" t="s">
        <v>56</v>
      </c>
      <c r="AX44" s="3" t="s">
        <v>407</v>
      </c>
      <c r="AY44" s="3" t="s">
        <v>56</v>
      </c>
      <c r="AZ44" s="3" t="s">
        <v>1159</v>
      </c>
      <c r="BA44" s="3" t="s">
        <v>56</v>
      </c>
      <c r="BB44" s="3" t="s">
        <v>217</v>
      </c>
      <c r="BC44" s="3" t="s">
        <v>56</v>
      </c>
      <c r="BD44" s="3" t="s">
        <v>252</v>
      </c>
      <c r="BE44" s="3" t="s">
        <v>56</v>
      </c>
      <c r="BF44" s="3" t="s">
        <v>264</v>
      </c>
      <c r="BG44" s="3" t="s">
        <v>56</v>
      </c>
      <c r="BH44" s="3" t="s">
        <v>217</v>
      </c>
      <c r="BI44" s="3" t="s">
        <v>56</v>
      </c>
      <c r="BJ44" s="3" t="s">
        <v>460</v>
      </c>
      <c r="BK44" s="3" t="s">
        <v>56</v>
      </c>
      <c r="BL44" s="3" t="s">
        <v>461</v>
      </c>
      <c r="BM44" s="3" t="s">
        <v>56</v>
      </c>
      <c r="BN44" s="3" t="s">
        <v>229</v>
      </c>
      <c r="BO44" s="3" t="s">
        <v>56</v>
      </c>
      <c r="BP44" s="3" t="s">
        <v>1160</v>
      </c>
      <c r="BQ44" s="3" t="s">
        <v>56</v>
      </c>
      <c r="BR44" s="3" t="s">
        <v>863</v>
      </c>
      <c r="BS44" s="3" t="s">
        <v>56</v>
      </c>
      <c r="BT44" s="3" t="s">
        <v>418</v>
      </c>
      <c r="BU44" s="3" t="s">
        <v>56</v>
      </c>
      <c r="BV44" s="3" t="s">
        <v>591</v>
      </c>
      <c r="BW44" s="3" t="s">
        <v>56</v>
      </c>
      <c r="BX44" s="3" t="s">
        <v>1161</v>
      </c>
      <c r="BY44" s="3" t="s">
        <v>56</v>
      </c>
      <c r="BZ44" s="3" t="s">
        <v>785</v>
      </c>
      <c r="CA44" s="3" t="s">
        <v>56</v>
      </c>
      <c r="CB44" s="3" t="s">
        <v>610</v>
      </c>
      <c r="CC44" s="3" t="s">
        <v>56</v>
      </c>
      <c r="CD44" s="3" t="s">
        <v>1162</v>
      </c>
      <c r="CE44" s="3" t="s">
        <v>56</v>
      </c>
      <c r="CF44" s="3" t="s">
        <v>392</v>
      </c>
      <c r="CG44" s="3" t="s">
        <v>56</v>
      </c>
      <c r="CH44" s="3" t="s">
        <v>344</v>
      </c>
    </row>
    <row r="45" spans="1:86" x14ac:dyDescent="0.55000000000000004">
      <c r="A45" s="3" t="s">
        <v>1163</v>
      </c>
      <c r="B45" s="3" t="s">
        <v>1164</v>
      </c>
      <c r="C45" s="3" t="s">
        <v>64</v>
      </c>
      <c r="D45" s="3" t="s">
        <v>55</v>
      </c>
      <c r="E45" s="3" t="s">
        <v>78</v>
      </c>
      <c r="F45" s="3" t="s">
        <v>777</v>
      </c>
      <c r="G45" s="3" t="s">
        <v>53</v>
      </c>
      <c r="H45" s="3" t="s">
        <v>58</v>
      </c>
      <c r="I45" s="3" t="s">
        <v>59</v>
      </c>
      <c r="J45" s="3" t="s">
        <v>60</v>
      </c>
      <c r="K45" s="3" t="s">
        <v>77</v>
      </c>
      <c r="L45" s="3" t="s">
        <v>55</v>
      </c>
      <c r="M45" s="3" t="s">
        <v>64</v>
      </c>
      <c r="N45" s="3" t="s">
        <v>66</v>
      </c>
      <c r="O45" s="3" t="s">
        <v>56</v>
      </c>
      <c r="P45" s="3" t="s">
        <v>249</v>
      </c>
      <c r="Q45" s="3" t="s">
        <v>56</v>
      </c>
      <c r="R45" s="3" t="s">
        <v>224</v>
      </c>
      <c r="S45" s="3" t="s">
        <v>56</v>
      </c>
      <c r="T45" s="3" t="s">
        <v>209</v>
      </c>
      <c r="U45" s="3" t="s">
        <v>56</v>
      </c>
      <c r="V45" s="3" t="s">
        <v>210</v>
      </c>
      <c r="W45" s="3" t="s">
        <v>56</v>
      </c>
      <c r="X45" s="3" t="s">
        <v>286</v>
      </c>
      <c r="Y45" s="3" t="s">
        <v>56</v>
      </c>
      <c r="Z45" s="3" t="s">
        <v>286</v>
      </c>
      <c r="AA45" s="3" t="s">
        <v>56</v>
      </c>
      <c r="AB45" s="3" t="s">
        <v>490</v>
      </c>
      <c r="AC45" s="3" t="s">
        <v>56</v>
      </c>
      <c r="AD45" s="3" t="s">
        <v>302</v>
      </c>
      <c r="AE45" s="3" t="s">
        <v>56</v>
      </c>
      <c r="AF45" s="3" t="s">
        <v>1165</v>
      </c>
      <c r="AG45" s="3" t="s">
        <v>56</v>
      </c>
      <c r="AH45" s="3" t="s">
        <v>1166</v>
      </c>
      <c r="AI45" s="3" t="s">
        <v>56</v>
      </c>
      <c r="AJ45" s="3" t="s">
        <v>1167</v>
      </c>
      <c r="AK45" s="3" t="s">
        <v>56</v>
      </c>
      <c r="AL45" s="3" t="s">
        <v>1168</v>
      </c>
      <c r="AM45" s="3" t="s">
        <v>56</v>
      </c>
      <c r="AN45" s="3" t="s">
        <v>1113</v>
      </c>
      <c r="AO45" s="3" t="s">
        <v>56</v>
      </c>
      <c r="AP45" s="3" t="s">
        <v>307</v>
      </c>
      <c r="AQ45" s="3" t="s">
        <v>56</v>
      </c>
      <c r="AR45" s="3" t="s">
        <v>593</v>
      </c>
      <c r="AS45" s="3" t="s">
        <v>56</v>
      </c>
      <c r="AT45" s="3" t="s">
        <v>353</v>
      </c>
      <c r="AU45" s="3" t="s">
        <v>56</v>
      </c>
      <c r="AV45" s="3" t="s">
        <v>1169</v>
      </c>
      <c r="AW45" s="3" t="s">
        <v>56</v>
      </c>
      <c r="AX45" s="3" t="s">
        <v>236</v>
      </c>
      <c r="AY45" s="3" t="s">
        <v>56</v>
      </c>
      <c r="AZ45" s="3" t="s">
        <v>1170</v>
      </c>
      <c r="BA45" s="3" t="s">
        <v>56</v>
      </c>
      <c r="BB45" s="3" t="s">
        <v>270</v>
      </c>
      <c r="BC45" s="3" t="s">
        <v>56</v>
      </c>
      <c r="BD45" s="3" t="s">
        <v>237</v>
      </c>
      <c r="BE45" s="3" t="s">
        <v>56</v>
      </c>
      <c r="BF45" s="3" t="s">
        <v>245</v>
      </c>
      <c r="BG45" s="3" t="s">
        <v>56</v>
      </c>
      <c r="BH45" s="3" t="s">
        <v>226</v>
      </c>
      <c r="BI45" s="3" t="s">
        <v>56</v>
      </c>
      <c r="BJ45" s="3" t="s">
        <v>421</v>
      </c>
      <c r="BK45" s="3" t="s">
        <v>56</v>
      </c>
      <c r="BL45" s="3" t="s">
        <v>372</v>
      </c>
      <c r="BM45" s="3" t="s">
        <v>56</v>
      </c>
      <c r="BN45" s="3" t="s">
        <v>314</v>
      </c>
      <c r="BO45" s="3" t="s">
        <v>56</v>
      </c>
      <c r="BP45" s="3" t="s">
        <v>389</v>
      </c>
      <c r="BQ45" s="3" t="s">
        <v>56</v>
      </c>
      <c r="BR45" s="3" t="s">
        <v>711</v>
      </c>
      <c r="BS45" s="3" t="s">
        <v>56</v>
      </c>
      <c r="BT45" s="3" t="s">
        <v>247</v>
      </c>
      <c r="BU45" s="3" t="s">
        <v>56</v>
      </c>
      <c r="BV45" s="3" t="s">
        <v>354</v>
      </c>
      <c r="BW45" s="3" t="s">
        <v>56</v>
      </c>
      <c r="BX45" s="3" t="s">
        <v>1171</v>
      </c>
      <c r="BY45" s="3" t="s">
        <v>56</v>
      </c>
      <c r="BZ45" s="3" t="s">
        <v>1172</v>
      </c>
      <c r="CA45" s="3" t="s">
        <v>56</v>
      </c>
      <c r="CB45" s="3" t="s">
        <v>737</v>
      </c>
      <c r="CC45" s="3" t="s">
        <v>56</v>
      </c>
      <c r="CD45" s="3" t="s">
        <v>486</v>
      </c>
      <c r="CE45" s="3" t="s">
        <v>56</v>
      </c>
      <c r="CF45" s="3" t="s">
        <v>485</v>
      </c>
      <c r="CG45" s="3" t="s">
        <v>56</v>
      </c>
      <c r="CH45" s="3" t="s">
        <v>290</v>
      </c>
    </row>
    <row r="46" spans="1:86" x14ac:dyDescent="0.55000000000000004">
      <c r="A46" s="3" t="s">
        <v>1173</v>
      </c>
      <c r="B46" s="3" t="s">
        <v>1174</v>
      </c>
      <c r="C46" s="3" t="s">
        <v>88</v>
      </c>
      <c r="D46" s="3" t="s">
        <v>55</v>
      </c>
      <c r="E46" s="3" t="s">
        <v>78</v>
      </c>
      <c r="F46" s="3" t="s">
        <v>777</v>
      </c>
      <c r="G46" s="3" t="s">
        <v>53</v>
      </c>
      <c r="H46" s="3" t="s">
        <v>58</v>
      </c>
      <c r="I46" s="3" t="s">
        <v>59</v>
      </c>
      <c r="J46" s="3" t="s">
        <v>60</v>
      </c>
      <c r="K46" s="3" t="s">
        <v>77</v>
      </c>
      <c r="L46" s="3" t="s">
        <v>55</v>
      </c>
      <c r="M46" s="3" t="s">
        <v>88</v>
      </c>
      <c r="N46" s="3" t="s">
        <v>72</v>
      </c>
      <c r="O46" s="3" t="s">
        <v>56</v>
      </c>
      <c r="P46" s="3" t="s">
        <v>224</v>
      </c>
      <c r="Q46" s="3" t="s">
        <v>56</v>
      </c>
      <c r="R46" s="3" t="s">
        <v>209</v>
      </c>
      <c r="S46" s="3" t="s">
        <v>56</v>
      </c>
      <c r="T46" s="3" t="s">
        <v>210</v>
      </c>
      <c r="U46" s="3" t="s">
        <v>56</v>
      </c>
      <c r="V46" s="3" t="s">
        <v>211</v>
      </c>
      <c r="W46" s="3" t="s">
        <v>56</v>
      </c>
      <c r="X46" s="3" t="s">
        <v>842</v>
      </c>
      <c r="Y46" s="3" t="s">
        <v>56</v>
      </c>
      <c r="Z46" s="3" t="s">
        <v>1175</v>
      </c>
      <c r="AA46" s="3" t="s">
        <v>56</v>
      </c>
      <c r="AB46" s="3" t="s">
        <v>447</v>
      </c>
      <c r="AC46" s="3" t="s">
        <v>56</v>
      </c>
      <c r="AD46" s="3" t="s">
        <v>633</v>
      </c>
      <c r="AE46" s="3" t="s">
        <v>56</v>
      </c>
      <c r="AF46" s="3" t="s">
        <v>1176</v>
      </c>
      <c r="AG46" s="3" t="s">
        <v>56</v>
      </c>
      <c r="AH46" s="3" t="s">
        <v>1177</v>
      </c>
      <c r="AI46" s="3" t="s">
        <v>56</v>
      </c>
      <c r="AJ46" s="3" t="s">
        <v>1178</v>
      </c>
      <c r="AK46" s="3" t="s">
        <v>56</v>
      </c>
      <c r="AL46" s="3" t="s">
        <v>1179</v>
      </c>
      <c r="AM46" s="3" t="s">
        <v>56</v>
      </c>
      <c r="AN46" s="3" t="s">
        <v>1180</v>
      </c>
      <c r="AO46" s="3" t="s">
        <v>56</v>
      </c>
      <c r="AP46" s="3" t="s">
        <v>1181</v>
      </c>
      <c r="AQ46" s="3" t="s">
        <v>56</v>
      </c>
      <c r="AR46" s="3" t="s">
        <v>1182</v>
      </c>
      <c r="AS46" s="3" t="s">
        <v>56</v>
      </c>
      <c r="AT46" s="3" t="s">
        <v>293</v>
      </c>
      <c r="AU46" s="3" t="s">
        <v>56</v>
      </c>
      <c r="AV46" s="3" t="s">
        <v>861</v>
      </c>
      <c r="AW46" s="3" t="s">
        <v>56</v>
      </c>
      <c r="AX46" s="3" t="s">
        <v>312</v>
      </c>
      <c r="AY46" s="3" t="s">
        <v>56</v>
      </c>
      <c r="AZ46" s="3" t="s">
        <v>1183</v>
      </c>
      <c r="BA46" s="3" t="s">
        <v>56</v>
      </c>
      <c r="BB46" s="3" t="s">
        <v>245</v>
      </c>
      <c r="BC46" s="3" t="s">
        <v>56</v>
      </c>
      <c r="BD46" s="3" t="s">
        <v>252</v>
      </c>
      <c r="BE46" s="3" t="s">
        <v>56</v>
      </c>
      <c r="BF46" s="3" t="s">
        <v>218</v>
      </c>
      <c r="BG46" s="3" t="s">
        <v>56</v>
      </c>
      <c r="BH46" s="3" t="s">
        <v>226</v>
      </c>
      <c r="BI46" s="3" t="s">
        <v>56</v>
      </c>
      <c r="BJ46" s="3" t="s">
        <v>421</v>
      </c>
      <c r="BK46" s="3" t="s">
        <v>56</v>
      </c>
      <c r="BL46" s="3" t="s">
        <v>372</v>
      </c>
      <c r="BM46" s="3" t="s">
        <v>56</v>
      </c>
      <c r="BN46" s="3" t="s">
        <v>229</v>
      </c>
      <c r="BO46" s="3" t="s">
        <v>56</v>
      </c>
      <c r="BP46" s="3" t="s">
        <v>1184</v>
      </c>
      <c r="BQ46" s="3" t="s">
        <v>56</v>
      </c>
      <c r="BR46" s="3" t="s">
        <v>1185</v>
      </c>
      <c r="BS46" s="3" t="s">
        <v>56</v>
      </c>
      <c r="BT46" s="3" t="s">
        <v>418</v>
      </c>
      <c r="BU46" s="3" t="s">
        <v>56</v>
      </c>
      <c r="BV46" s="3" t="s">
        <v>453</v>
      </c>
      <c r="BW46" s="3" t="s">
        <v>56</v>
      </c>
      <c r="BX46" s="3" t="s">
        <v>1182</v>
      </c>
      <c r="BY46" s="3" t="s">
        <v>56</v>
      </c>
      <c r="BZ46" s="3" t="s">
        <v>318</v>
      </c>
      <c r="CA46" s="3" t="s">
        <v>56</v>
      </c>
      <c r="CB46" s="3" t="s">
        <v>427</v>
      </c>
      <c r="CC46" s="3" t="s">
        <v>56</v>
      </c>
      <c r="CD46" s="3" t="s">
        <v>1042</v>
      </c>
      <c r="CE46" s="3" t="s">
        <v>56</v>
      </c>
      <c r="CF46" s="3" t="s">
        <v>374</v>
      </c>
      <c r="CG46" s="3" t="s">
        <v>56</v>
      </c>
      <c r="CH46" s="3" t="s">
        <v>602</v>
      </c>
    </row>
    <row r="47" spans="1:86" x14ac:dyDescent="0.55000000000000004">
      <c r="A47" s="3" t="s">
        <v>1186</v>
      </c>
      <c r="B47" s="3" t="s">
        <v>1187</v>
      </c>
      <c r="C47" s="3" t="s">
        <v>71</v>
      </c>
      <c r="D47" s="3" t="s">
        <v>55</v>
      </c>
      <c r="E47" s="3" t="s">
        <v>1188</v>
      </c>
      <c r="F47" s="3" t="s">
        <v>732</v>
      </c>
      <c r="G47" s="3" t="s">
        <v>53</v>
      </c>
      <c r="H47" s="3" t="s">
        <v>58</v>
      </c>
      <c r="I47" s="3" t="s">
        <v>59</v>
      </c>
      <c r="J47" s="3" t="s">
        <v>63</v>
      </c>
      <c r="K47" s="3" t="s">
        <v>61</v>
      </c>
      <c r="L47" s="3" t="s">
        <v>55</v>
      </c>
      <c r="M47" s="3" t="s">
        <v>71</v>
      </c>
      <c r="N47" s="3" t="s">
        <v>75</v>
      </c>
      <c r="O47" s="3" t="s">
        <v>56</v>
      </c>
      <c r="P47" s="3" t="s">
        <v>249</v>
      </c>
      <c r="Q47" s="3" t="s">
        <v>56</v>
      </c>
      <c r="R47" s="3" t="s">
        <v>224</v>
      </c>
      <c r="S47" s="3" t="s">
        <v>56</v>
      </c>
      <c r="T47" s="3" t="s">
        <v>209</v>
      </c>
      <c r="U47" s="3" t="s">
        <v>56</v>
      </c>
      <c r="V47" s="3" t="s">
        <v>210</v>
      </c>
      <c r="W47" s="3" t="s">
        <v>56</v>
      </c>
      <c r="X47" s="3" t="s">
        <v>302</v>
      </c>
      <c r="Y47" s="3" t="s">
        <v>56</v>
      </c>
      <c r="Z47" s="3" t="s">
        <v>477</v>
      </c>
      <c r="AA47" s="3" t="s">
        <v>56</v>
      </c>
      <c r="AB47" s="3" t="s">
        <v>234</v>
      </c>
      <c r="AC47" s="3" t="s">
        <v>56</v>
      </c>
      <c r="AD47" s="3" t="s">
        <v>222</v>
      </c>
      <c r="AE47" s="3" t="s">
        <v>56</v>
      </c>
      <c r="AF47" s="3" t="s">
        <v>1189</v>
      </c>
      <c r="AG47" s="3" t="s">
        <v>56</v>
      </c>
      <c r="AH47" s="3" t="s">
        <v>1190</v>
      </c>
      <c r="AI47" s="3" t="s">
        <v>56</v>
      </c>
      <c r="AJ47" s="3" t="s">
        <v>1191</v>
      </c>
      <c r="AK47" s="3" t="s">
        <v>56</v>
      </c>
      <c r="AL47" s="3" t="s">
        <v>1192</v>
      </c>
      <c r="AM47" s="3" t="s">
        <v>56</v>
      </c>
      <c r="AN47" s="3" t="s">
        <v>1193</v>
      </c>
      <c r="AO47" s="3" t="s">
        <v>56</v>
      </c>
      <c r="AP47" s="3" t="s">
        <v>1025</v>
      </c>
      <c r="AQ47" s="3" t="s">
        <v>56</v>
      </c>
      <c r="AR47" s="3" t="s">
        <v>338</v>
      </c>
      <c r="AS47" s="3" t="s">
        <v>56</v>
      </c>
      <c r="AT47" s="3" t="s">
        <v>293</v>
      </c>
      <c r="AU47" s="3" t="s">
        <v>56</v>
      </c>
      <c r="AV47" s="3" t="s">
        <v>706</v>
      </c>
      <c r="AW47" s="3" t="s">
        <v>56</v>
      </c>
      <c r="AX47" s="3" t="s">
        <v>216</v>
      </c>
      <c r="AY47" s="3" t="s">
        <v>56</v>
      </c>
      <c r="AZ47" s="3" t="s">
        <v>1194</v>
      </c>
      <c r="BA47" s="3" t="s">
        <v>56</v>
      </c>
      <c r="BB47" s="3" t="s">
        <v>226</v>
      </c>
      <c r="BC47" s="3" t="s">
        <v>56</v>
      </c>
      <c r="BD47" s="3" t="s">
        <v>237</v>
      </c>
      <c r="BE47" s="3" t="s">
        <v>56</v>
      </c>
      <c r="BF47" s="3" t="s">
        <v>270</v>
      </c>
      <c r="BG47" s="3" t="s">
        <v>56</v>
      </c>
      <c r="BH47" s="3" t="s">
        <v>217</v>
      </c>
      <c r="BI47" s="3" t="s">
        <v>56</v>
      </c>
      <c r="BJ47" s="3" t="s">
        <v>227</v>
      </c>
      <c r="BK47" s="3" t="s">
        <v>56</v>
      </c>
      <c r="BL47" s="3" t="s">
        <v>228</v>
      </c>
      <c r="BM47" s="3" t="s">
        <v>56</v>
      </c>
      <c r="BN47" s="3" t="s">
        <v>221</v>
      </c>
      <c r="BO47" s="3" t="s">
        <v>56</v>
      </c>
      <c r="BP47" s="3" t="s">
        <v>705</v>
      </c>
      <c r="BQ47" s="3" t="s">
        <v>56</v>
      </c>
      <c r="BR47" s="3" t="s">
        <v>873</v>
      </c>
      <c r="BS47" s="3" t="s">
        <v>56</v>
      </c>
      <c r="BT47" s="3" t="s">
        <v>358</v>
      </c>
      <c r="BU47" s="3" t="s">
        <v>56</v>
      </c>
      <c r="BV47" s="3" t="s">
        <v>291</v>
      </c>
      <c r="BW47" s="3" t="s">
        <v>56</v>
      </c>
      <c r="BX47" s="3" t="s">
        <v>487</v>
      </c>
      <c r="BY47" s="3" t="s">
        <v>56</v>
      </c>
      <c r="BZ47" s="3" t="s">
        <v>1195</v>
      </c>
      <c r="CA47" s="3" t="s">
        <v>56</v>
      </c>
      <c r="CB47" s="3" t="s">
        <v>1196</v>
      </c>
      <c r="CC47" s="3" t="s">
        <v>56</v>
      </c>
      <c r="CD47" s="3" t="s">
        <v>725</v>
      </c>
      <c r="CE47" s="3" t="s">
        <v>56</v>
      </c>
      <c r="CF47" s="3" t="s">
        <v>277</v>
      </c>
      <c r="CG47" s="3" t="s">
        <v>56</v>
      </c>
      <c r="CH47" s="3" t="s">
        <v>273</v>
      </c>
    </row>
    <row r="48" spans="1:86" x14ac:dyDescent="0.55000000000000004">
      <c r="A48" s="3" t="s">
        <v>1197</v>
      </c>
      <c r="B48" s="3" t="s">
        <v>1198</v>
      </c>
      <c r="C48" s="3" t="s">
        <v>64</v>
      </c>
      <c r="D48" s="3" t="s">
        <v>55</v>
      </c>
      <c r="E48" s="3" t="s">
        <v>78</v>
      </c>
      <c r="F48" s="3" t="s">
        <v>903</v>
      </c>
      <c r="G48" s="3" t="s">
        <v>53</v>
      </c>
      <c r="H48" s="3" t="s">
        <v>58</v>
      </c>
      <c r="I48" s="3" t="s">
        <v>59</v>
      </c>
      <c r="J48" s="3" t="s">
        <v>63</v>
      </c>
      <c r="K48" s="3" t="s">
        <v>61</v>
      </c>
      <c r="L48" s="3" t="s">
        <v>55</v>
      </c>
      <c r="M48" s="3" t="s">
        <v>64</v>
      </c>
      <c r="N48" s="3" t="s">
        <v>66</v>
      </c>
      <c r="O48" s="3" t="s">
        <v>56</v>
      </c>
      <c r="P48" s="3" t="s">
        <v>224</v>
      </c>
      <c r="Q48" s="3" t="s">
        <v>56</v>
      </c>
      <c r="R48" s="3" t="s">
        <v>209</v>
      </c>
      <c r="S48" s="3" t="s">
        <v>56</v>
      </c>
      <c r="T48" s="3" t="s">
        <v>210</v>
      </c>
      <c r="U48" s="3" t="s">
        <v>56</v>
      </c>
      <c r="V48" s="3" t="s">
        <v>211</v>
      </c>
      <c r="W48" s="3" t="s">
        <v>56</v>
      </c>
      <c r="X48" s="3" t="s">
        <v>337</v>
      </c>
      <c r="Y48" s="3" t="s">
        <v>56</v>
      </c>
      <c r="Z48" s="3" t="s">
        <v>485</v>
      </c>
      <c r="AA48" s="3" t="s">
        <v>56</v>
      </c>
      <c r="AB48" s="3" t="s">
        <v>394</v>
      </c>
      <c r="AC48" s="3" t="s">
        <v>56</v>
      </c>
      <c r="AD48" s="3" t="s">
        <v>213</v>
      </c>
      <c r="AE48" s="3"/>
      <c r="AF48" s="3"/>
      <c r="AG48" s="3"/>
      <c r="AH48" s="3"/>
      <c r="AI48" s="3"/>
      <c r="AJ48" s="3"/>
      <c r="AK48" s="3"/>
      <c r="AL48" s="3"/>
      <c r="AM48" s="3"/>
      <c r="AN48" s="3"/>
      <c r="AO48" s="3"/>
      <c r="AP48" s="3"/>
      <c r="AQ48" s="3" t="s">
        <v>56</v>
      </c>
      <c r="AR48" s="3" t="s">
        <v>467</v>
      </c>
      <c r="AS48" s="3" t="s">
        <v>56</v>
      </c>
      <c r="AT48" s="3" t="s">
        <v>347</v>
      </c>
      <c r="AU48" s="3"/>
      <c r="AV48" s="3"/>
      <c r="AW48" s="3" t="s">
        <v>56</v>
      </c>
      <c r="AX48" s="3" t="s">
        <v>236</v>
      </c>
      <c r="AY48" s="3" t="s">
        <v>56</v>
      </c>
      <c r="AZ48" s="3" t="s">
        <v>1199</v>
      </c>
      <c r="BA48" s="3" t="s">
        <v>56</v>
      </c>
      <c r="BB48" s="3" t="s">
        <v>226</v>
      </c>
      <c r="BC48" s="3" t="s">
        <v>56</v>
      </c>
      <c r="BD48" s="3" t="s">
        <v>237</v>
      </c>
      <c r="BE48" s="3" t="s">
        <v>56</v>
      </c>
      <c r="BF48" s="3" t="s">
        <v>226</v>
      </c>
      <c r="BG48" s="3" t="s">
        <v>56</v>
      </c>
      <c r="BH48" s="3" t="s">
        <v>252</v>
      </c>
      <c r="BI48" s="3"/>
      <c r="BJ48" s="3"/>
      <c r="BK48" s="3"/>
      <c r="BL48" s="3"/>
      <c r="BM48" s="3" t="s">
        <v>56</v>
      </c>
      <c r="BN48" s="3" t="s">
        <v>229</v>
      </c>
      <c r="BO48" s="3" t="s">
        <v>56</v>
      </c>
      <c r="BP48" s="3" t="s">
        <v>964</v>
      </c>
      <c r="BQ48" s="3" t="s">
        <v>56</v>
      </c>
      <c r="BR48" s="3" t="s">
        <v>1200</v>
      </c>
      <c r="BS48" s="3"/>
      <c r="BT48" s="3"/>
      <c r="BU48" s="3" t="s">
        <v>56</v>
      </c>
      <c r="BV48" s="3" t="s">
        <v>660</v>
      </c>
      <c r="BW48" s="3" t="s">
        <v>56</v>
      </c>
      <c r="BX48" s="3" t="s">
        <v>613</v>
      </c>
      <c r="BY48" s="3" t="s">
        <v>56</v>
      </c>
      <c r="BZ48" s="3" t="s">
        <v>390</v>
      </c>
      <c r="CA48" s="3" t="s">
        <v>56</v>
      </c>
      <c r="CB48" s="3" t="s">
        <v>619</v>
      </c>
      <c r="CC48" s="3" t="s">
        <v>56</v>
      </c>
      <c r="CD48" s="3" t="s">
        <v>1201</v>
      </c>
      <c r="CE48" s="3" t="s">
        <v>56</v>
      </c>
      <c r="CF48" s="3" t="s">
        <v>213</v>
      </c>
      <c r="CG48" s="3" t="s">
        <v>56</v>
      </c>
      <c r="CH48" s="3" t="s">
        <v>408</v>
      </c>
    </row>
    <row r="49" spans="1:86" x14ac:dyDescent="0.55000000000000004">
      <c r="A49" s="3" t="s">
        <v>707</v>
      </c>
      <c r="B49" s="3" t="s">
        <v>708</v>
      </c>
      <c r="C49" s="3" t="s">
        <v>424</v>
      </c>
      <c r="D49" s="3" t="s">
        <v>55</v>
      </c>
      <c r="E49" s="3" t="s">
        <v>65</v>
      </c>
      <c r="F49" s="3" t="s">
        <v>732</v>
      </c>
      <c r="G49" s="3" t="s">
        <v>53</v>
      </c>
      <c r="H49" s="3" t="s">
        <v>58</v>
      </c>
      <c r="I49" s="3" t="s">
        <v>59</v>
      </c>
      <c r="J49" s="3" t="s">
        <v>63</v>
      </c>
      <c r="K49" s="3" t="s">
        <v>61</v>
      </c>
      <c r="L49" s="3" t="s">
        <v>55</v>
      </c>
      <c r="M49" s="3" t="s">
        <v>424</v>
      </c>
      <c r="N49" s="3" t="s">
        <v>89</v>
      </c>
      <c r="O49" s="3" t="s">
        <v>56</v>
      </c>
      <c r="P49" s="3" t="s">
        <v>248</v>
      </c>
      <c r="Q49" s="3" t="s">
        <v>56</v>
      </c>
      <c r="R49" s="3" t="s">
        <v>249</v>
      </c>
      <c r="S49" s="3" t="s">
        <v>56</v>
      </c>
      <c r="T49" s="3" t="s">
        <v>224</v>
      </c>
      <c r="U49" s="3" t="s">
        <v>56</v>
      </c>
      <c r="V49" s="3" t="s">
        <v>209</v>
      </c>
      <c r="W49" s="3" t="s">
        <v>56</v>
      </c>
      <c r="X49" s="3" t="s">
        <v>243</v>
      </c>
      <c r="Y49" s="3" t="s">
        <v>56</v>
      </c>
      <c r="Z49" s="3" t="s">
        <v>294</v>
      </c>
      <c r="AA49" s="3" t="s">
        <v>56</v>
      </c>
      <c r="AB49" s="3" t="s">
        <v>434</v>
      </c>
      <c r="AC49" s="3" t="s">
        <v>56</v>
      </c>
      <c r="AD49" s="3" t="s">
        <v>384</v>
      </c>
      <c r="AE49" s="3" t="s">
        <v>56</v>
      </c>
      <c r="AF49" s="3" t="s">
        <v>1202</v>
      </c>
      <c r="AG49" s="3" t="s">
        <v>56</v>
      </c>
      <c r="AH49" s="3" t="s">
        <v>1203</v>
      </c>
      <c r="AI49" s="3" t="s">
        <v>56</v>
      </c>
      <c r="AJ49" s="3" t="s">
        <v>1204</v>
      </c>
      <c r="AK49" s="3" t="s">
        <v>56</v>
      </c>
      <c r="AL49" s="3" t="s">
        <v>1205</v>
      </c>
      <c r="AM49" s="3" t="s">
        <v>56</v>
      </c>
      <c r="AN49" s="3" t="s">
        <v>425</v>
      </c>
      <c r="AO49" s="3" t="s">
        <v>56</v>
      </c>
      <c r="AP49" s="3" t="s">
        <v>1101</v>
      </c>
      <c r="AQ49" s="3" t="s">
        <v>56</v>
      </c>
      <c r="AR49" s="3" t="s">
        <v>737</v>
      </c>
      <c r="AS49" s="3" t="s">
        <v>56</v>
      </c>
      <c r="AT49" s="3" t="s">
        <v>474</v>
      </c>
      <c r="AU49" s="3" t="s">
        <v>56</v>
      </c>
      <c r="AV49" s="3" t="s">
        <v>1206</v>
      </c>
      <c r="AW49" s="3" t="s">
        <v>56</v>
      </c>
      <c r="AX49" s="3" t="s">
        <v>356</v>
      </c>
      <c r="AY49" s="3" t="s">
        <v>56</v>
      </c>
      <c r="AZ49" s="3" t="s">
        <v>1207</v>
      </c>
      <c r="BA49" s="3" t="s">
        <v>56</v>
      </c>
      <c r="BB49" s="3" t="s">
        <v>264</v>
      </c>
      <c r="BC49" s="3" t="s">
        <v>56</v>
      </c>
      <c r="BD49" s="3" t="s">
        <v>252</v>
      </c>
      <c r="BE49" s="3" t="s">
        <v>56</v>
      </c>
      <c r="BF49" s="3" t="s">
        <v>245</v>
      </c>
      <c r="BG49" s="3" t="s">
        <v>56</v>
      </c>
      <c r="BH49" s="3" t="s">
        <v>245</v>
      </c>
      <c r="BI49" s="3" t="s">
        <v>56</v>
      </c>
      <c r="BJ49" s="3" t="s">
        <v>219</v>
      </c>
      <c r="BK49" s="3" t="s">
        <v>56</v>
      </c>
      <c r="BL49" s="3" t="s">
        <v>220</v>
      </c>
      <c r="BM49" s="3" t="s">
        <v>56</v>
      </c>
      <c r="BN49" s="3" t="s">
        <v>258</v>
      </c>
      <c r="BO49" s="3" t="s">
        <v>56</v>
      </c>
      <c r="BP49" s="3" t="s">
        <v>1208</v>
      </c>
      <c r="BQ49" s="3" t="s">
        <v>56</v>
      </c>
      <c r="BR49" s="3" t="s">
        <v>291</v>
      </c>
      <c r="BS49" s="3" t="s">
        <v>56</v>
      </c>
      <c r="BT49" s="3" t="s">
        <v>418</v>
      </c>
      <c r="BU49" s="3" t="s">
        <v>56</v>
      </c>
      <c r="BV49" s="3" t="s">
        <v>673</v>
      </c>
      <c r="BW49" s="3" t="s">
        <v>56</v>
      </c>
      <c r="BX49" s="3" t="s">
        <v>584</v>
      </c>
      <c r="BY49" s="3" t="s">
        <v>56</v>
      </c>
      <c r="BZ49" s="3" t="s">
        <v>1209</v>
      </c>
      <c r="CA49" s="3" t="s">
        <v>56</v>
      </c>
      <c r="CB49" s="3" t="s">
        <v>444</v>
      </c>
      <c r="CC49" s="3" t="s">
        <v>56</v>
      </c>
      <c r="CD49" s="3" t="s">
        <v>293</v>
      </c>
      <c r="CE49" s="3" t="s">
        <v>56</v>
      </c>
      <c r="CF49" s="3" t="s">
        <v>375</v>
      </c>
      <c r="CG49" s="3" t="s">
        <v>56</v>
      </c>
      <c r="CH49" s="3" t="s">
        <v>238</v>
      </c>
    </row>
    <row r="50" spans="1:86" x14ac:dyDescent="0.55000000000000004">
      <c r="A50" s="3" t="s">
        <v>674</v>
      </c>
      <c r="B50" s="3" t="s">
        <v>675</v>
      </c>
      <c r="C50" s="3" t="s">
        <v>71</v>
      </c>
      <c r="D50" s="3" t="s">
        <v>55</v>
      </c>
      <c r="E50" s="3" t="s">
        <v>78</v>
      </c>
      <c r="F50" s="3" t="s">
        <v>732</v>
      </c>
      <c r="G50" s="3" t="s">
        <v>53</v>
      </c>
      <c r="H50" s="3" t="s">
        <v>58</v>
      </c>
      <c r="I50" s="3" t="s">
        <v>59</v>
      </c>
      <c r="J50" s="3" t="s">
        <v>63</v>
      </c>
      <c r="K50" s="3" t="s">
        <v>61</v>
      </c>
      <c r="L50" s="3" t="s">
        <v>55</v>
      </c>
      <c r="M50" s="3" t="s">
        <v>71</v>
      </c>
      <c r="N50" s="3" t="s">
        <v>75</v>
      </c>
      <c r="O50" s="3" t="s">
        <v>56</v>
      </c>
      <c r="P50" s="3" t="s">
        <v>249</v>
      </c>
      <c r="Q50" s="3" t="s">
        <v>56</v>
      </c>
      <c r="R50" s="3" t="s">
        <v>224</v>
      </c>
      <c r="S50" s="3" t="s">
        <v>56</v>
      </c>
      <c r="T50" s="3" t="s">
        <v>209</v>
      </c>
      <c r="U50" s="3" t="s">
        <v>56</v>
      </c>
      <c r="V50" s="3" t="s">
        <v>210</v>
      </c>
      <c r="W50" s="3" t="s">
        <v>56</v>
      </c>
      <c r="X50" s="3" t="s">
        <v>490</v>
      </c>
      <c r="Y50" s="3" t="s">
        <v>56</v>
      </c>
      <c r="Z50" s="3" t="s">
        <v>230</v>
      </c>
      <c r="AA50" s="3" t="s">
        <v>56</v>
      </c>
      <c r="AB50" s="3" t="s">
        <v>243</v>
      </c>
      <c r="AC50" s="3" t="s">
        <v>56</v>
      </c>
      <c r="AD50" s="3" t="s">
        <v>398</v>
      </c>
      <c r="AE50" s="3" t="s">
        <v>56</v>
      </c>
      <c r="AF50" s="3" t="s">
        <v>1210</v>
      </c>
      <c r="AG50" s="3" t="s">
        <v>56</v>
      </c>
      <c r="AH50" s="3" t="s">
        <v>1211</v>
      </c>
      <c r="AI50" s="3" t="s">
        <v>56</v>
      </c>
      <c r="AJ50" s="3" t="s">
        <v>1212</v>
      </c>
      <c r="AK50" s="3" t="s">
        <v>56</v>
      </c>
      <c r="AL50" s="3" t="s">
        <v>1213</v>
      </c>
      <c r="AM50" s="3" t="s">
        <v>56</v>
      </c>
      <c r="AN50" s="3" t="s">
        <v>665</v>
      </c>
      <c r="AO50" s="3" t="s">
        <v>56</v>
      </c>
      <c r="AP50" s="3" t="s">
        <v>251</v>
      </c>
      <c r="AQ50" s="3" t="s">
        <v>56</v>
      </c>
      <c r="AR50" s="3" t="s">
        <v>729</v>
      </c>
      <c r="AS50" s="3" t="s">
        <v>56</v>
      </c>
      <c r="AT50" s="3" t="s">
        <v>355</v>
      </c>
      <c r="AU50" s="3" t="s">
        <v>56</v>
      </c>
      <c r="AV50" s="3" t="s">
        <v>1214</v>
      </c>
      <c r="AW50" s="3" t="s">
        <v>56</v>
      </c>
      <c r="AX50" s="3" t="s">
        <v>902</v>
      </c>
      <c r="AY50" s="3" t="s">
        <v>56</v>
      </c>
      <c r="AZ50" s="3" t="s">
        <v>643</v>
      </c>
      <c r="BA50" s="3" t="s">
        <v>56</v>
      </c>
      <c r="BB50" s="3" t="s">
        <v>245</v>
      </c>
      <c r="BC50" s="3" t="s">
        <v>56</v>
      </c>
      <c r="BD50" s="3" t="s">
        <v>252</v>
      </c>
      <c r="BE50" s="3" t="s">
        <v>56</v>
      </c>
      <c r="BF50" s="3" t="s">
        <v>264</v>
      </c>
      <c r="BG50" s="3" t="s">
        <v>56</v>
      </c>
      <c r="BH50" s="3" t="s">
        <v>218</v>
      </c>
      <c r="BI50" s="3" t="s">
        <v>56</v>
      </c>
      <c r="BJ50" s="3" t="s">
        <v>227</v>
      </c>
      <c r="BK50" s="3" t="s">
        <v>56</v>
      </c>
      <c r="BL50" s="3" t="s">
        <v>228</v>
      </c>
      <c r="BM50" s="3" t="s">
        <v>56</v>
      </c>
      <c r="BN50" s="3" t="s">
        <v>256</v>
      </c>
      <c r="BO50" s="3" t="s">
        <v>56</v>
      </c>
      <c r="BP50" s="3" t="s">
        <v>663</v>
      </c>
      <c r="BQ50" s="3" t="s">
        <v>56</v>
      </c>
      <c r="BR50" s="3" t="s">
        <v>1215</v>
      </c>
      <c r="BS50" s="3" t="s">
        <v>56</v>
      </c>
      <c r="BT50" s="3" t="s">
        <v>247</v>
      </c>
      <c r="BU50" s="3" t="s">
        <v>56</v>
      </c>
      <c r="BV50" s="3" t="s">
        <v>637</v>
      </c>
      <c r="BW50" s="3" t="s">
        <v>56</v>
      </c>
      <c r="BX50" s="3" t="s">
        <v>672</v>
      </c>
      <c r="BY50" s="3" t="s">
        <v>56</v>
      </c>
      <c r="BZ50" s="3" t="s">
        <v>606</v>
      </c>
      <c r="CA50" s="3" t="s">
        <v>56</v>
      </c>
      <c r="CB50" s="3" t="s">
        <v>747</v>
      </c>
      <c r="CC50" s="3" t="s">
        <v>56</v>
      </c>
      <c r="CD50" s="3" t="s">
        <v>1216</v>
      </c>
      <c r="CE50" s="3" t="s">
        <v>56</v>
      </c>
      <c r="CF50" s="3" t="s">
        <v>741</v>
      </c>
      <c r="CG50" s="3" t="s">
        <v>56</v>
      </c>
      <c r="CH50" s="3" t="s">
        <v>602</v>
      </c>
    </row>
    <row r="51" spans="1:86" x14ac:dyDescent="0.55000000000000004">
      <c r="A51" s="3" t="s">
        <v>492</v>
      </c>
      <c r="B51" s="3" t="s">
        <v>493</v>
      </c>
      <c r="C51" s="3" t="s">
        <v>54</v>
      </c>
      <c r="D51" s="3" t="s">
        <v>68</v>
      </c>
      <c r="E51" s="3" t="s">
        <v>78</v>
      </c>
      <c r="F51" s="3" t="s">
        <v>876</v>
      </c>
      <c r="G51" s="3" t="s">
        <v>53</v>
      </c>
      <c r="H51" s="3" t="s">
        <v>58</v>
      </c>
      <c r="I51" s="3" t="s">
        <v>59</v>
      </c>
      <c r="J51" s="3" t="s">
        <v>63</v>
      </c>
      <c r="K51" s="3" t="s">
        <v>61</v>
      </c>
      <c r="L51" s="3" t="s">
        <v>68</v>
      </c>
      <c r="M51" s="3" t="s">
        <v>54</v>
      </c>
      <c r="N51" s="3" t="s">
        <v>75</v>
      </c>
      <c r="O51" s="3" t="s">
        <v>56</v>
      </c>
      <c r="P51" s="3" t="s">
        <v>224</v>
      </c>
      <c r="Q51" s="3" t="s">
        <v>56</v>
      </c>
      <c r="R51" s="3" t="s">
        <v>209</v>
      </c>
      <c r="S51" s="3" t="s">
        <v>56</v>
      </c>
      <c r="T51" s="3" t="s">
        <v>210</v>
      </c>
      <c r="U51" s="3" t="s">
        <v>56</v>
      </c>
      <c r="V51" s="3" t="s">
        <v>211</v>
      </c>
      <c r="W51" s="3" t="s">
        <v>56</v>
      </c>
      <c r="X51" s="3" t="s">
        <v>490</v>
      </c>
      <c r="Y51" s="3" t="s">
        <v>56</v>
      </c>
      <c r="Z51" s="3" t="s">
        <v>234</v>
      </c>
      <c r="AA51" s="3" t="s">
        <v>56</v>
      </c>
      <c r="AB51" s="3" t="s">
        <v>376</v>
      </c>
      <c r="AC51" s="3" t="s">
        <v>56</v>
      </c>
      <c r="AD51" s="3" t="s">
        <v>267</v>
      </c>
      <c r="AE51" s="3" t="s">
        <v>56</v>
      </c>
      <c r="AF51" s="3" t="s">
        <v>1189</v>
      </c>
      <c r="AG51" s="3" t="s">
        <v>56</v>
      </c>
      <c r="AH51" s="3" t="s">
        <v>1217</v>
      </c>
      <c r="AI51" s="3" t="s">
        <v>56</v>
      </c>
      <c r="AJ51" s="3" t="s">
        <v>1218</v>
      </c>
      <c r="AK51" s="3" t="s">
        <v>56</v>
      </c>
      <c r="AL51" s="3" t="s">
        <v>1219</v>
      </c>
      <c r="AM51" s="3" t="s">
        <v>56</v>
      </c>
      <c r="AN51" s="3" t="s">
        <v>838</v>
      </c>
      <c r="AO51" s="3" t="s">
        <v>56</v>
      </c>
      <c r="AP51" s="3" t="s">
        <v>235</v>
      </c>
      <c r="AQ51" s="3" t="s">
        <v>56</v>
      </c>
      <c r="AR51" s="3" t="s">
        <v>378</v>
      </c>
      <c r="AS51" s="3" t="s">
        <v>56</v>
      </c>
      <c r="AT51" s="3" t="s">
        <v>355</v>
      </c>
      <c r="AU51" s="3" t="s">
        <v>56</v>
      </c>
      <c r="AV51" s="3" t="s">
        <v>1220</v>
      </c>
      <c r="AW51" s="3" t="s">
        <v>56</v>
      </c>
      <c r="AX51" s="3" t="s">
        <v>657</v>
      </c>
      <c r="AY51" s="3" t="s">
        <v>56</v>
      </c>
      <c r="AZ51" s="3" t="s">
        <v>1221</v>
      </c>
      <c r="BA51" s="3" t="s">
        <v>56</v>
      </c>
      <c r="BB51" s="3" t="s">
        <v>226</v>
      </c>
      <c r="BC51" s="3" t="s">
        <v>56</v>
      </c>
      <c r="BD51" s="3" t="s">
        <v>237</v>
      </c>
      <c r="BE51" s="3" t="s">
        <v>56</v>
      </c>
      <c r="BF51" s="3" t="s">
        <v>264</v>
      </c>
      <c r="BG51" s="3" t="s">
        <v>56</v>
      </c>
      <c r="BH51" s="3" t="s">
        <v>245</v>
      </c>
      <c r="BI51" s="3" t="s">
        <v>56</v>
      </c>
      <c r="BJ51" s="3" t="s">
        <v>219</v>
      </c>
      <c r="BK51" s="3" t="s">
        <v>56</v>
      </c>
      <c r="BL51" s="3" t="s">
        <v>220</v>
      </c>
      <c r="BM51" s="3" t="s">
        <v>56</v>
      </c>
      <c r="BN51" s="3" t="s">
        <v>238</v>
      </c>
      <c r="BO51" s="3" t="s">
        <v>56</v>
      </c>
      <c r="BP51" s="3" t="s">
        <v>852</v>
      </c>
      <c r="BQ51" s="3" t="s">
        <v>56</v>
      </c>
      <c r="BR51" s="3" t="s">
        <v>1222</v>
      </c>
      <c r="BS51" s="3" t="s">
        <v>56</v>
      </c>
      <c r="BT51" s="3" t="s">
        <v>271</v>
      </c>
      <c r="BU51" s="3" t="s">
        <v>56</v>
      </c>
      <c r="BV51" s="3" t="s">
        <v>1058</v>
      </c>
      <c r="BW51" s="3" t="s">
        <v>56</v>
      </c>
      <c r="BX51" s="3" t="s">
        <v>332</v>
      </c>
      <c r="BY51" s="3" t="s">
        <v>56</v>
      </c>
      <c r="BZ51" s="3" t="s">
        <v>874</v>
      </c>
      <c r="CA51" s="3" t="s">
        <v>56</v>
      </c>
      <c r="CB51" s="3" t="s">
        <v>320</v>
      </c>
      <c r="CC51" s="3" t="s">
        <v>56</v>
      </c>
      <c r="CD51" s="3" t="s">
        <v>1223</v>
      </c>
      <c r="CE51" s="3" t="s">
        <v>56</v>
      </c>
      <c r="CF51" s="3" t="s">
        <v>477</v>
      </c>
      <c r="CG51" s="3" t="s">
        <v>56</v>
      </c>
      <c r="CH51" s="3" t="s">
        <v>602</v>
      </c>
    </row>
    <row r="52" spans="1:86" x14ac:dyDescent="0.55000000000000004">
      <c r="A52" s="3" t="s">
        <v>1224</v>
      </c>
      <c r="B52" s="3" t="s">
        <v>1225</v>
      </c>
      <c r="C52" s="3" t="s">
        <v>54</v>
      </c>
      <c r="D52" s="3" t="s">
        <v>68</v>
      </c>
      <c r="E52" s="3" t="s">
        <v>57</v>
      </c>
      <c r="F52" s="3" t="s">
        <v>777</v>
      </c>
      <c r="G52" s="3" t="s">
        <v>53</v>
      </c>
      <c r="H52" s="3" t="s">
        <v>58</v>
      </c>
      <c r="I52" s="3" t="s">
        <v>59</v>
      </c>
      <c r="J52" s="3" t="s">
        <v>63</v>
      </c>
      <c r="K52" s="3" t="s">
        <v>61</v>
      </c>
      <c r="L52" s="3" t="s">
        <v>68</v>
      </c>
      <c r="M52" s="3" t="s">
        <v>54</v>
      </c>
      <c r="N52" s="3" t="s">
        <v>62</v>
      </c>
      <c r="O52" s="3" t="s">
        <v>56</v>
      </c>
      <c r="P52" s="3" t="s">
        <v>224</v>
      </c>
      <c r="Q52" s="3" t="s">
        <v>56</v>
      </c>
      <c r="R52" s="3" t="s">
        <v>209</v>
      </c>
      <c r="S52" s="3" t="s">
        <v>56</v>
      </c>
      <c r="T52" s="3" t="s">
        <v>210</v>
      </c>
      <c r="U52" s="3" t="s">
        <v>56</v>
      </c>
      <c r="V52" s="3" t="s">
        <v>211</v>
      </c>
      <c r="W52" s="3" t="s">
        <v>56</v>
      </c>
      <c r="X52" s="3" t="s">
        <v>232</v>
      </c>
      <c r="Y52" s="3" t="s">
        <v>56</v>
      </c>
      <c r="Z52" s="3" t="s">
        <v>259</v>
      </c>
      <c r="AA52" s="3" t="s">
        <v>56</v>
      </c>
      <c r="AB52" s="3" t="s">
        <v>376</v>
      </c>
      <c r="AC52" s="3" t="s">
        <v>56</v>
      </c>
      <c r="AD52" s="3" t="s">
        <v>243</v>
      </c>
      <c r="AE52" s="3" t="s">
        <v>56</v>
      </c>
      <c r="AF52" s="3" t="s">
        <v>1226</v>
      </c>
      <c r="AG52" s="3" t="s">
        <v>56</v>
      </c>
      <c r="AH52" s="3" t="s">
        <v>1227</v>
      </c>
      <c r="AI52" s="3" t="s">
        <v>56</v>
      </c>
      <c r="AJ52" s="3" t="s">
        <v>1228</v>
      </c>
      <c r="AK52" s="3" t="s">
        <v>56</v>
      </c>
      <c r="AL52" s="3" t="s">
        <v>1229</v>
      </c>
      <c r="AM52" s="3" t="s">
        <v>56</v>
      </c>
      <c r="AN52" s="3" t="s">
        <v>402</v>
      </c>
      <c r="AO52" s="3" t="s">
        <v>56</v>
      </c>
      <c r="AP52" s="3" t="s">
        <v>317</v>
      </c>
      <c r="AQ52" s="3" t="s">
        <v>56</v>
      </c>
      <c r="AR52" s="3" t="s">
        <v>623</v>
      </c>
      <c r="AS52" s="3" t="s">
        <v>56</v>
      </c>
      <c r="AT52" s="3" t="s">
        <v>347</v>
      </c>
      <c r="AU52" s="3" t="s">
        <v>56</v>
      </c>
      <c r="AV52" s="3" t="s">
        <v>1230</v>
      </c>
      <c r="AW52" s="3" t="s">
        <v>56</v>
      </c>
      <c r="AX52" s="3" t="s">
        <v>236</v>
      </c>
      <c r="AY52" s="3" t="s">
        <v>56</v>
      </c>
      <c r="AZ52" s="3" t="s">
        <v>1231</v>
      </c>
      <c r="BA52" s="3" t="s">
        <v>56</v>
      </c>
      <c r="BB52" s="3" t="s">
        <v>226</v>
      </c>
      <c r="BC52" s="3" t="s">
        <v>56</v>
      </c>
      <c r="BD52" s="3" t="s">
        <v>252</v>
      </c>
      <c r="BE52" s="3" t="s">
        <v>56</v>
      </c>
      <c r="BF52" s="3" t="s">
        <v>218</v>
      </c>
      <c r="BG52" s="3" t="s">
        <v>56</v>
      </c>
      <c r="BH52" s="3" t="s">
        <v>245</v>
      </c>
      <c r="BI52" s="3" t="s">
        <v>56</v>
      </c>
      <c r="BJ52" s="3" t="s">
        <v>421</v>
      </c>
      <c r="BK52" s="3" t="s">
        <v>56</v>
      </c>
      <c r="BL52" s="3" t="s">
        <v>372</v>
      </c>
      <c r="BM52" s="3" t="s">
        <v>56</v>
      </c>
      <c r="BN52" s="3" t="s">
        <v>261</v>
      </c>
      <c r="BO52" s="3" t="s">
        <v>56</v>
      </c>
      <c r="BP52" s="3" t="s">
        <v>1232</v>
      </c>
      <c r="BQ52" s="3" t="s">
        <v>56</v>
      </c>
      <c r="BR52" s="3" t="s">
        <v>656</v>
      </c>
      <c r="BS52" s="3" t="s">
        <v>56</v>
      </c>
      <c r="BT52" s="3" t="s">
        <v>319</v>
      </c>
      <c r="BU52" s="3" t="s">
        <v>56</v>
      </c>
      <c r="BV52" s="3" t="s">
        <v>628</v>
      </c>
      <c r="BW52" s="3" t="s">
        <v>56</v>
      </c>
      <c r="BX52" s="3" t="s">
        <v>944</v>
      </c>
      <c r="BY52" s="3" t="s">
        <v>56</v>
      </c>
      <c r="BZ52" s="3" t="s">
        <v>1233</v>
      </c>
      <c r="CA52" s="3" t="s">
        <v>56</v>
      </c>
      <c r="CB52" s="3" t="s">
        <v>274</v>
      </c>
      <c r="CC52" s="3" t="s">
        <v>56</v>
      </c>
      <c r="CD52" s="3" t="s">
        <v>1234</v>
      </c>
      <c r="CE52" s="3" t="s">
        <v>56</v>
      </c>
      <c r="CF52" s="3" t="s">
        <v>392</v>
      </c>
      <c r="CG52" s="3" t="s">
        <v>56</v>
      </c>
      <c r="CH52" s="3" t="s">
        <v>420</v>
      </c>
    </row>
    <row r="53" spans="1:86" x14ac:dyDescent="0.55000000000000004">
      <c r="A53" s="3" t="s">
        <v>678</v>
      </c>
      <c r="B53" s="3" t="s">
        <v>679</v>
      </c>
      <c r="C53" s="3" t="s">
        <v>71</v>
      </c>
      <c r="D53" s="3" t="s">
        <v>55</v>
      </c>
      <c r="E53" s="3" t="s">
        <v>57</v>
      </c>
      <c r="F53" s="3" t="s">
        <v>732</v>
      </c>
      <c r="G53" s="3" t="s">
        <v>53</v>
      </c>
      <c r="H53" s="3" t="s">
        <v>58</v>
      </c>
      <c r="I53" s="3" t="s">
        <v>59</v>
      </c>
      <c r="J53" s="3" t="s">
        <v>60</v>
      </c>
      <c r="K53" s="3" t="s">
        <v>77</v>
      </c>
      <c r="L53" s="3" t="s">
        <v>55</v>
      </c>
      <c r="M53" s="3" t="s">
        <v>71</v>
      </c>
      <c r="N53" s="3" t="s">
        <v>75</v>
      </c>
      <c r="O53" s="3" t="s">
        <v>56</v>
      </c>
      <c r="P53" s="3" t="s">
        <v>1235</v>
      </c>
      <c r="Q53" s="3" t="s">
        <v>56</v>
      </c>
      <c r="R53" s="3" t="s">
        <v>1236</v>
      </c>
      <c r="S53" s="3" t="s">
        <v>56</v>
      </c>
      <c r="T53" s="3" t="s">
        <v>1237</v>
      </c>
      <c r="U53" s="3" t="s">
        <v>56</v>
      </c>
      <c r="V53" s="3" t="s">
        <v>1238</v>
      </c>
      <c r="W53" s="3" t="s">
        <v>56</v>
      </c>
      <c r="X53" s="3" t="s">
        <v>406</v>
      </c>
      <c r="Y53" s="3" t="s">
        <v>56</v>
      </c>
      <c r="Z53" s="3" t="s">
        <v>435</v>
      </c>
      <c r="AA53" s="3" t="s">
        <v>56</v>
      </c>
      <c r="AB53" s="3" t="s">
        <v>268</v>
      </c>
      <c r="AC53" s="3" t="s">
        <v>56</v>
      </c>
      <c r="AD53" s="3" t="s">
        <v>435</v>
      </c>
      <c r="AE53" s="3" t="s">
        <v>56</v>
      </c>
      <c r="AF53" s="3" t="s">
        <v>1239</v>
      </c>
      <c r="AG53" s="3" t="s">
        <v>56</v>
      </c>
      <c r="AH53" s="3" t="s">
        <v>1240</v>
      </c>
      <c r="AI53" s="3" t="s">
        <v>56</v>
      </c>
      <c r="AJ53" s="3" t="s">
        <v>1241</v>
      </c>
      <c r="AK53" s="3" t="s">
        <v>56</v>
      </c>
      <c r="AL53" s="3" t="s">
        <v>1242</v>
      </c>
      <c r="AM53" s="3" t="s">
        <v>56</v>
      </c>
      <c r="AN53" s="3" t="s">
        <v>1243</v>
      </c>
      <c r="AO53" s="3" t="s">
        <v>56</v>
      </c>
      <c r="AP53" s="3" t="s">
        <v>757</v>
      </c>
      <c r="AQ53" s="3" t="s">
        <v>56</v>
      </c>
      <c r="AR53" s="3" t="s">
        <v>338</v>
      </c>
      <c r="AS53" s="3" t="s">
        <v>56</v>
      </c>
      <c r="AT53" s="3" t="s">
        <v>431</v>
      </c>
      <c r="AU53" s="3" t="s">
        <v>56</v>
      </c>
      <c r="AV53" s="3" t="s">
        <v>1244</v>
      </c>
      <c r="AW53" s="3" t="s">
        <v>56</v>
      </c>
      <c r="AX53" s="3" t="s">
        <v>356</v>
      </c>
      <c r="AY53" s="3" t="s">
        <v>56</v>
      </c>
      <c r="AZ53" s="3" t="s">
        <v>1245</v>
      </c>
      <c r="BA53" s="3" t="s">
        <v>56</v>
      </c>
      <c r="BB53" s="3" t="s">
        <v>245</v>
      </c>
      <c r="BC53" s="3" t="s">
        <v>56</v>
      </c>
      <c r="BD53" s="3" t="s">
        <v>252</v>
      </c>
      <c r="BE53" s="3" t="s">
        <v>56</v>
      </c>
      <c r="BF53" s="3" t="s">
        <v>264</v>
      </c>
      <c r="BG53" s="3" t="s">
        <v>56</v>
      </c>
      <c r="BH53" s="3" t="s">
        <v>252</v>
      </c>
      <c r="BI53" s="3" t="s">
        <v>56</v>
      </c>
      <c r="BJ53" s="3" t="s">
        <v>275</v>
      </c>
      <c r="BK53" s="3" t="s">
        <v>56</v>
      </c>
      <c r="BL53" s="3" t="s">
        <v>289</v>
      </c>
      <c r="BM53" s="3" t="s">
        <v>56</v>
      </c>
      <c r="BN53" s="3" t="s">
        <v>272</v>
      </c>
      <c r="BO53" s="3" t="s">
        <v>56</v>
      </c>
      <c r="BP53" s="3" t="s">
        <v>1246</v>
      </c>
      <c r="BQ53" s="3" t="s">
        <v>56</v>
      </c>
      <c r="BR53" s="3" t="s">
        <v>884</v>
      </c>
      <c r="BS53" s="3" t="s">
        <v>56</v>
      </c>
      <c r="BT53" s="3" t="s">
        <v>271</v>
      </c>
      <c r="BU53" s="3" t="s">
        <v>56</v>
      </c>
      <c r="BV53" s="3" t="s">
        <v>625</v>
      </c>
      <c r="BW53" s="3" t="s">
        <v>56</v>
      </c>
      <c r="BX53" s="3" t="s">
        <v>380</v>
      </c>
      <c r="BY53" s="3" t="s">
        <v>56</v>
      </c>
      <c r="BZ53" s="3" t="s">
        <v>1247</v>
      </c>
      <c r="CA53" s="3" t="s">
        <v>56</v>
      </c>
      <c r="CB53" s="3" t="s">
        <v>1248</v>
      </c>
      <c r="CC53" s="3" t="s">
        <v>56</v>
      </c>
      <c r="CD53" s="3" t="s">
        <v>235</v>
      </c>
      <c r="CE53" s="3" t="s">
        <v>56</v>
      </c>
      <c r="CF53" s="3" t="s">
        <v>242</v>
      </c>
      <c r="CG53" s="3" t="s">
        <v>56</v>
      </c>
      <c r="CH53" s="3" t="s">
        <v>372</v>
      </c>
    </row>
    <row r="54" spans="1:86" x14ac:dyDescent="0.55000000000000004">
      <c r="A54" s="3" t="s">
        <v>714</v>
      </c>
      <c r="B54" s="3" t="s">
        <v>715</v>
      </c>
      <c r="C54" s="3" t="s">
        <v>67</v>
      </c>
      <c r="D54" s="3" t="s">
        <v>68</v>
      </c>
      <c r="E54" s="3" t="s">
        <v>373</v>
      </c>
      <c r="F54" s="3" t="s">
        <v>732</v>
      </c>
      <c r="G54" s="3" t="s">
        <v>53</v>
      </c>
      <c r="H54" s="3" t="s">
        <v>58</v>
      </c>
      <c r="I54" s="3" t="s">
        <v>59</v>
      </c>
      <c r="J54" s="3" t="s">
        <v>63</v>
      </c>
      <c r="K54" s="3" t="s">
        <v>61</v>
      </c>
      <c r="L54" s="3" t="s">
        <v>68</v>
      </c>
      <c r="M54" s="3" t="s">
        <v>67</v>
      </c>
      <c r="N54" s="3" t="s">
        <v>70</v>
      </c>
      <c r="O54" s="3" t="s">
        <v>56</v>
      </c>
      <c r="P54" s="3" t="s">
        <v>248</v>
      </c>
      <c r="Q54" s="3" t="s">
        <v>56</v>
      </c>
      <c r="R54" s="3" t="s">
        <v>249</v>
      </c>
      <c r="S54" s="3" t="s">
        <v>56</v>
      </c>
      <c r="T54" s="3" t="s">
        <v>224</v>
      </c>
      <c r="U54" s="3" t="s">
        <v>56</v>
      </c>
      <c r="V54" s="3" t="s">
        <v>209</v>
      </c>
      <c r="W54" s="3" t="s">
        <v>56</v>
      </c>
      <c r="X54" s="3" t="s">
        <v>459</v>
      </c>
      <c r="Y54" s="3" t="s">
        <v>56</v>
      </c>
      <c r="Z54" s="3" t="s">
        <v>1249</v>
      </c>
      <c r="AA54" s="3" t="s">
        <v>56</v>
      </c>
      <c r="AB54" s="3" t="s">
        <v>362</v>
      </c>
      <c r="AC54" s="3" t="s">
        <v>56</v>
      </c>
      <c r="AD54" s="3" t="s">
        <v>262</v>
      </c>
      <c r="AE54" s="3" t="s">
        <v>56</v>
      </c>
      <c r="AF54" s="3" t="s">
        <v>703</v>
      </c>
      <c r="AG54" s="3" t="s">
        <v>56</v>
      </c>
      <c r="AH54" s="3" t="s">
        <v>704</v>
      </c>
      <c r="AI54" s="3" t="s">
        <v>56</v>
      </c>
      <c r="AJ54" s="3" t="s">
        <v>1250</v>
      </c>
      <c r="AK54" s="3" t="s">
        <v>56</v>
      </c>
      <c r="AL54" s="3" t="s">
        <v>1251</v>
      </c>
      <c r="AM54" s="3" t="s">
        <v>56</v>
      </c>
      <c r="AN54" s="3" t="s">
        <v>1252</v>
      </c>
      <c r="AO54" s="3" t="s">
        <v>56</v>
      </c>
      <c r="AP54" s="3" t="s">
        <v>582</v>
      </c>
      <c r="AQ54" s="3" t="s">
        <v>56</v>
      </c>
      <c r="AR54" s="3" t="s">
        <v>631</v>
      </c>
      <c r="AS54" s="3" t="s">
        <v>56</v>
      </c>
      <c r="AT54" s="3" t="s">
        <v>285</v>
      </c>
      <c r="AU54" s="3" t="s">
        <v>56</v>
      </c>
      <c r="AV54" s="3" t="s">
        <v>1253</v>
      </c>
      <c r="AW54" s="3" t="s">
        <v>56</v>
      </c>
      <c r="AX54" s="3" t="s">
        <v>829</v>
      </c>
      <c r="AY54" s="3" t="s">
        <v>56</v>
      </c>
      <c r="AZ54" s="3" t="s">
        <v>1158</v>
      </c>
      <c r="BA54" s="3" t="s">
        <v>56</v>
      </c>
      <c r="BB54" s="3" t="s">
        <v>245</v>
      </c>
      <c r="BC54" s="3" t="s">
        <v>56</v>
      </c>
      <c r="BD54" s="3" t="s">
        <v>237</v>
      </c>
      <c r="BE54" s="3" t="s">
        <v>56</v>
      </c>
      <c r="BF54" s="3" t="s">
        <v>226</v>
      </c>
      <c r="BG54" s="3" t="s">
        <v>56</v>
      </c>
      <c r="BH54" s="3" t="s">
        <v>226</v>
      </c>
      <c r="BI54" s="3" t="s">
        <v>56</v>
      </c>
      <c r="BJ54" s="3" t="s">
        <v>227</v>
      </c>
      <c r="BK54" s="3" t="s">
        <v>56</v>
      </c>
      <c r="BL54" s="3" t="s">
        <v>228</v>
      </c>
      <c r="BM54" s="3" t="s">
        <v>56</v>
      </c>
      <c r="BN54" s="3" t="s">
        <v>602</v>
      </c>
      <c r="BO54" s="3" t="s">
        <v>56</v>
      </c>
      <c r="BP54" s="3" t="s">
        <v>1254</v>
      </c>
      <c r="BQ54" s="3" t="s">
        <v>56</v>
      </c>
      <c r="BR54" s="3" t="s">
        <v>603</v>
      </c>
      <c r="BS54" s="3" t="s">
        <v>56</v>
      </c>
      <c r="BT54" s="3" t="s">
        <v>443</v>
      </c>
      <c r="BU54" s="3" t="s">
        <v>56</v>
      </c>
      <c r="BV54" s="3" t="s">
        <v>712</v>
      </c>
      <c r="BW54" s="3" t="s">
        <v>56</v>
      </c>
      <c r="BX54" s="3" t="s">
        <v>831</v>
      </c>
      <c r="BY54" s="3" t="s">
        <v>56</v>
      </c>
      <c r="BZ54" s="3" t="s">
        <v>1255</v>
      </c>
      <c r="CA54" s="3" t="s">
        <v>56</v>
      </c>
      <c r="CB54" s="3" t="s">
        <v>292</v>
      </c>
      <c r="CC54" s="3" t="s">
        <v>56</v>
      </c>
      <c r="CD54" s="3" t="s">
        <v>317</v>
      </c>
      <c r="CE54" s="3" t="s">
        <v>56</v>
      </c>
      <c r="CF54" s="3" t="s">
        <v>642</v>
      </c>
      <c r="CG54" s="3" t="s">
        <v>56</v>
      </c>
      <c r="CH54" s="3" t="s">
        <v>221</v>
      </c>
    </row>
    <row r="55" spans="1:86" x14ac:dyDescent="0.55000000000000004">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row>
    <row r="56" spans="1:86" x14ac:dyDescent="0.55000000000000004">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row>
    <row r="57" spans="1:86" x14ac:dyDescent="0.55000000000000004">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row>
    <row r="58" spans="1:86" x14ac:dyDescent="0.55000000000000004">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row>
    <row r="59" spans="1:86" x14ac:dyDescent="0.55000000000000004">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row>
    <row r="60" spans="1:86" x14ac:dyDescent="0.55000000000000004">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row>
    <row r="61" spans="1:86" x14ac:dyDescent="0.55000000000000004">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row>
    <row r="62" spans="1:86" x14ac:dyDescent="0.55000000000000004">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row>
    <row r="63" spans="1:86" x14ac:dyDescent="0.55000000000000004">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row>
    <row r="64" spans="1:86" x14ac:dyDescent="0.55000000000000004">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row>
    <row r="65" spans="1:86" x14ac:dyDescent="0.55000000000000004">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row>
    <row r="66" spans="1:86" x14ac:dyDescent="0.55000000000000004">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row>
    <row r="67" spans="1:86" x14ac:dyDescent="0.55000000000000004">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row>
    <row r="68" spans="1:86" x14ac:dyDescent="0.55000000000000004">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row>
    <row r="69" spans="1:86" x14ac:dyDescent="0.55000000000000004">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row>
    <row r="70" spans="1:86" x14ac:dyDescent="0.55000000000000004">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row>
    <row r="71" spans="1:86" x14ac:dyDescent="0.55000000000000004">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row>
    <row r="72" spans="1:86" x14ac:dyDescent="0.55000000000000004">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row>
    <row r="73" spans="1:86" x14ac:dyDescent="0.55000000000000004">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row>
    <row r="74" spans="1:86" x14ac:dyDescent="0.55000000000000004">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row>
    <row r="75" spans="1:86" x14ac:dyDescent="0.55000000000000004">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row>
    <row r="76" spans="1:86" x14ac:dyDescent="0.55000000000000004">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row>
    <row r="77" spans="1:86" x14ac:dyDescent="0.55000000000000004">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row>
    <row r="78" spans="1:86" x14ac:dyDescent="0.55000000000000004">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row>
    <row r="79" spans="1:86" x14ac:dyDescent="0.55000000000000004">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row>
    <row r="80" spans="1:86" x14ac:dyDescent="0.55000000000000004">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row>
    <row r="81" spans="1:86" x14ac:dyDescent="0.55000000000000004">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row>
    <row r="82" spans="1:86" x14ac:dyDescent="0.55000000000000004">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row>
    <row r="83" spans="1:86" x14ac:dyDescent="0.55000000000000004">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row>
    <row r="84" spans="1:86" x14ac:dyDescent="0.55000000000000004">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row>
    <row r="85" spans="1:86" x14ac:dyDescent="0.55000000000000004">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row>
    <row r="86" spans="1:86" x14ac:dyDescent="0.55000000000000004">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row>
    <row r="87" spans="1:86" x14ac:dyDescent="0.55000000000000004">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row>
    <row r="88" spans="1:86" x14ac:dyDescent="0.55000000000000004">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row>
    <row r="89" spans="1:86" x14ac:dyDescent="0.55000000000000004">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row>
    <row r="90" spans="1:86" x14ac:dyDescent="0.55000000000000004">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row>
    <row r="91" spans="1:86" x14ac:dyDescent="0.55000000000000004">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row>
    <row r="92" spans="1:86" x14ac:dyDescent="0.55000000000000004">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row>
    <row r="93" spans="1:86" x14ac:dyDescent="0.55000000000000004">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row>
    <row r="94" spans="1:86" x14ac:dyDescent="0.55000000000000004">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row>
    <row r="95" spans="1:86" x14ac:dyDescent="0.55000000000000004">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row>
    <row r="96" spans="1:86" x14ac:dyDescent="0.55000000000000004">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row>
    <row r="97" spans="1:86" x14ac:dyDescent="0.55000000000000004">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row>
    <row r="98" spans="1:86" x14ac:dyDescent="0.55000000000000004">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row>
    <row r="99" spans="1:86" x14ac:dyDescent="0.55000000000000004">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row>
    <row r="100" spans="1:86" x14ac:dyDescent="0.55000000000000004">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row>
    <row r="101" spans="1:86" x14ac:dyDescent="0.55000000000000004">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row>
    <row r="102" spans="1:86" x14ac:dyDescent="0.55000000000000004">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row>
    <row r="103" spans="1:86" x14ac:dyDescent="0.55000000000000004">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row>
    <row r="104" spans="1:86" x14ac:dyDescent="0.55000000000000004">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row>
    <row r="105" spans="1:86" x14ac:dyDescent="0.55000000000000004">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row>
    <row r="106" spans="1:86" x14ac:dyDescent="0.55000000000000004">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row>
    <row r="107" spans="1:86" x14ac:dyDescent="0.55000000000000004">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row>
    <row r="108" spans="1:86" x14ac:dyDescent="0.55000000000000004">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row>
    <row r="109" spans="1:86" x14ac:dyDescent="0.55000000000000004">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row>
    <row r="110" spans="1:86" x14ac:dyDescent="0.55000000000000004">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row>
    <row r="111" spans="1:86" x14ac:dyDescent="0.55000000000000004">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row>
    <row r="112" spans="1:86" x14ac:dyDescent="0.55000000000000004">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row>
    <row r="113" spans="1:86" x14ac:dyDescent="0.55000000000000004">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row>
    <row r="114" spans="1:86" x14ac:dyDescent="0.55000000000000004">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row>
    <row r="115" spans="1:86" x14ac:dyDescent="0.55000000000000004">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row>
    <row r="116" spans="1:86" x14ac:dyDescent="0.55000000000000004">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row>
    <row r="117" spans="1:86" x14ac:dyDescent="0.55000000000000004">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row>
    <row r="118" spans="1:86" x14ac:dyDescent="0.55000000000000004">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row>
    <row r="119" spans="1:86" x14ac:dyDescent="0.55000000000000004">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row>
    <row r="120" spans="1:86" x14ac:dyDescent="0.55000000000000004">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row>
    <row r="121" spans="1:86" x14ac:dyDescent="0.55000000000000004">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row>
    <row r="122" spans="1:86" x14ac:dyDescent="0.55000000000000004">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row>
    <row r="123" spans="1:86" x14ac:dyDescent="0.55000000000000004">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row>
    <row r="124" spans="1:86" x14ac:dyDescent="0.55000000000000004">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row>
    <row r="125" spans="1:86" x14ac:dyDescent="0.55000000000000004">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row>
    <row r="126" spans="1:86" x14ac:dyDescent="0.55000000000000004">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row>
    <row r="127" spans="1:86" x14ac:dyDescent="0.55000000000000004">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row>
    <row r="128" spans="1:86" x14ac:dyDescent="0.55000000000000004">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row>
    <row r="129" spans="1:86" x14ac:dyDescent="0.55000000000000004">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row>
    <row r="130" spans="1:86" x14ac:dyDescent="0.55000000000000004">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row>
    <row r="131" spans="1:86" x14ac:dyDescent="0.55000000000000004">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row>
    <row r="132" spans="1:86" x14ac:dyDescent="0.55000000000000004">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row>
    <row r="133" spans="1:86" x14ac:dyDescent="0.55000000000000004">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row>
    <row r="134" spans="1:86" x14ac:dyDescent="0.55000000000000004">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row>
    <row r="135" spans="1:86" x14ac:dyDescent="0.55000000000000004">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row>
    <row r="136" spans="1:86" x14ac:dyDescent="0.55000000000000004">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row>
    <row r="137" spans="1:86" x14ac:dyDescent="0.55000000000000004">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row>
    <row r="138" spans="1:86" x14ac:dyDescent="0.55000000000000004">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row>
    <row r="139" spans="1:86" x14ac:dyDescent="0.55000000000000004">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row>
    <row r="140" spans="1:86" x14ac:dyDescent="0.55000000000000004">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row>
    <row r="141" spans="1:86" x14ac:dyDescent="0.55000000000000004">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row>
    <row r="142" spans="1:86" x14ac:dyDescent="0.55000000000000004">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row>
    <row r="143" spans="1:86" x14ac:dyDescent="0.55000000000000004">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row>
    <row r="144" spans="1:86" x14ac:dyDescent="0.55000000000000004">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row>
    <row r="145" spans="1:86" x14ac:dyDescent="0.55000000000000004">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row>
    <row r="146" spans="1:86" x14ac:dyDescent="0.55000000000000004">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row>
    <row r="147" spans="1:86" x14ac:dyDescent="0.55000000000000004">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row>
    <row r="148" spans="1:86" x14ac:dyDescent="0.55000000000000004">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row>
    <row r="149" spans="1:86" x14ac:dyDescent="0.55000000000000004">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row>
    <row r="150" spans="1:86" x14ac:dyDescent="0.55000000000000004">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row>
    <row r="151" spans="1:86" x14ac:dyDescent="0.55000000000000004">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row>
    <row r="152" spans="1:86" x14ac:dyDescent="0.55000000000000004">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row>
    <row r="153" spans="1:86" x14ac:dyDescent="0.55000000000000004">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row>
    <row r="154" spans="1:86" x14ac:dyDescent="0.55000000000000004">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row>
    <row r="155" spans="1:86" x14ac:dyDescent="0.55000000000000004">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row>
    <row r="156" spans="1:86" x14ac:dyDescent="0.55000000000000004">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row>
    <row r="157" spans="1:86" x14ac:dyDescent="0.55000000000000004">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row>
    <row r="158" spans="1:86" x14ac:dyDescent="0.55000000000000004">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row>
    <row r="159" spans="1:86" x14ac:dyDescent="0.55000000000000004">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row>
    <row r="160" spans="1:86" x14ac:dyDescent="0.55000000000000004">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row>
    <row r="161" spans="1:86" x14ac:dyDescent="0.55000000000000004">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row>
    <row r="162" spans="1:86" x14ac:dyDescent="0.55000000000000004">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row>
    <row r="163" spans="1:86" x14ac:dyDescent="0.55000000000000004">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row>
    <row r="164" spans="1:86" x14ac:dyDescent="0.55000000000000004">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row>
    <row r="165" spans="1:86" x14ac:dyDescent="0.55000000000000004">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row>
    <row r="166" spans="1:86" x14ac:dyDescent="0.55000000000000004">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row>
    <row r="167" spans="1:86" x14ac:dyDescent="0.55000000000000004">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row>
    <row r="168" spans="1:86" x14ac:dyDescent="0.55000000000000004">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row>
    <row r="169" spans="1:86" x14ac:dyDescent="0.55000000000000004">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row>
    <row r="170" spans="1:86" x14ac:dyDescent="0.55000000000000004">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row>
    <row r="171" spans="1:86" x14ac:dyDescent="0.55000000000000004">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row>
    <row r="172" spans="1:86" x14ac:dyDescent="0.55000000000000004">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row>
    <row r="173" spans="1:86" x14ac:dyDescent="0.55000000000000004">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row>
    <row r="174" spans="1:86" x14ac:dyDescent="0.55000000000000004">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row>
    <row r="175" spans="1:86" x14ac:dyDescent="0.55000000000000004">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row>
    <row r="176" spans="1:86" x14ac:dyDescent="0.55000000000000004">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row>
    <row r="177" spans="1:86" x14ac:dyDescent="0.55000000000000004">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row>
    <row r="178" spans="1:86" x14ac:dyDescent="0.55000000000000004">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row>
    <row r="179" spans="1:86" x14ac:dyDescent="0.55000000000000004">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row>
    <row r="180" spans="1:86" x14ac:dyDescent="0.55000000000000004">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row>
    <row r="181" spans="1:86" x14ac:dyDescent="0.55000000000000004">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row>
    <row r="182" spans="1:86" x14ac:dyDescent="0.55000000000000004">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row>
    <row r="183" spans="1:86" x14ac:dyDescent="0.55000000000000004">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row>
    <row r="184" spans="1:86" x14ac:dyDescent="0.55000000000000004">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row>
    <row r="185" spans="1:86" x14ac:dyDescent="0.55000000000000004">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row>
    <row r="186" spans="1:86" x14ac:dyDescent="0.55000000000000004">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row>
    <row r="187" spans="1:86" x14ac:dyDescent="0.55000000000000004">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row>
    <row r="188" spans="1:86" x14ac:dyDescent="0.55000000000000004">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row>
    <row r="189" spans="1:86" x14ac:dyDescent="0.55000000000000004">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row>
    <row r="190" spans="1:86" x14ac:dyDescent="0.55000000000000004">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row>
    <row r="191" spans="1:86" x14ac:dyDescent="0.55000000000000004">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row>
    <row r="192" spans="1:86" x14ac:dyDescent="0.55000000000000004">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row>
    <row r="193" spans="1:86" x14ac:dyDescent="0.55000000000000004">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row>
  </sheetData>
  <mergeCells count="38">
    <mergeCell ref="A1:E1"/>
    <mergeCell ref="F1:N1"/>
    <mergeCell ref="O1:P1"/>
    <mergeCell ref="Q1:R1"/>
    <mergeCell ref="S1:T1"/>
    <mergeCell ref="U1:V1"/>
    <mergeCell ref="W1:X1"/>
    <mergeCell ref="Y1:Z1"/>
    <mergeCell ref="AA1:AB1"/>
    <mergeCell ref="AC1:AD1"/>
    <mergeCell ref="AE1:AF1"/>
    <mergeCell ref="AG1:AH1"/>
    <mergeCell ref="AI1:AJ1"/>
    <mergeCell ref="AK1:AL1"/>
    <mergeCell ref="AM1:AN1"/>
    <mergeCell ref="AO1:AP1"/>
    <mergeCell ref="AQ1:AR1"/>
    <mergeCell ref="AS1:AT1"/>
    <mergeCell ref="AU1:AV1"/>
    <mergeCell ref="AW1:AX1"/>
    <mergeCell ref="AY1:AZ1"/>
    <mergeCell ref="BA1:BB1"/>
    <mergeCell ref="BC1:BD1"/>
    <mergeCell ref="BE1:BF1"/>
    <mergeCell ref="BG1:BH1"/>
    <mergeCell ref="BI1:BJ1"/>
    <mergeCell ref="BK1:BL1"/>
    <mergeCell ref="BM1:BN1"/>
    <mergeCell ref="BO1:BP1"/>
    <mergeCell ref="BQ1:BR1"/>
    <mergeCell ref="CC1:CD1"/>
    <mergeCell ref="CE1:CF1"/>
    <mergeCell ref="CG1:CH1"/>
    <mergeCell ref="BS1:BT1"/>
    <mergeCell ref="BU1:BV1"/>
    <mergeCell ref="BW1:BX1"/>
    <mergeCell ref="BY1:BZ1"/>
    <mergeCell ref="CA1:CB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3</xdr:row>
                    <xdr:rowOff>50800</xdr:rowOff>
                  </from>
                  <to>
                    <xdr:col>6</xdr:col>
                    <xdr:colOff>336550</xdr:colOff>
                    <xdr:row>6</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6</xdr:col>
                    <xdr:colOff>787400</xdr:colOff>
                    <xdr:row>3</xdr:row>
                    <xdr:rowOff>31750</xdr:rowOff>
                  </from>
                  <to>
                    <xdr:col>12</xdr:col>
                    <xdr:colOff>254000</xdr:colOff>
                    <xdr:row>6</xdr:row>
                    <xdr:rowOff>203200</xdr:rowOff>
                  </to>
                </anchor>
              </controlPr>
            </control>
          </mc:Choice>
        </mc:AlternateContent>
        <mc:AlternateContent xmlns:mc="http://schemas.openxmlformats.org/markup-compatibility/2006">
          <mc:Choice Requires="x14">
            <control shapeId="4099" r:id="rId6" name="Button 3">
              <controlPr defaultSize="0" print="0" autoFill="0" autoPict="0" macro="[1]!Output_Data_By_FixedFiscalRow">
                <anchor moveWithCells="1" sizeWithCells="1">
                  <from>
                    <xdr:col>4</xdr:col>
                    <xdr:colOff>88900</xdr:colOff>
                    <xdr:row>3</xdr:row>
                    <xdr:rowOff>50800</xdr:rowOff>
                  </from>
                  <to>
                    <xdr:col>7</xdr:col>
                    <xdr:colOff>336550</xdr:colOff>
                    <xdr:row>6</xdr:row>
                    <xdr:rowOff>146050</xdr:rowOff>
                  </to>
                </anchor>
              </controlPr>
            </control>
          </mc:Choice>
        </mc:AlternateContent>
        <mc:AlternateContent xmlns:mc="http://schemas.openxmlformats.org/markup-compatibility/2006">
          <mc:Choice Requires="x14">
            <control shapeId="4100" r:id="rId7" name="Button 4">
              <controlPr defaultSize="0" print="0" autoFill="0" autoPict="0" macro="[1]!ExportPDF_Resultsheet_ByList_Exclude_Unique_OneDriveSafe">
                <anchor moveWithCells="1" sizeWithCells="1">
                  <from>
                    <xdr:col>7</xdr:col>
                    <xdr:colOff>787400</xdr:colOff>
                    <xdr:row>3</xdr:row>
                    <xdr:rowOff>31750</xdr:rowOff>
                  </from>
                  <to>
                    <xdr:col>13</xdr:col>
                    <xdr:colOff>254000</xdr:colOff>
                    <xdr:row>6</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3" sqref="A3"/>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2</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120</v>
      </c>
      <c r="D4" s="159" t="s">
        <v>143</v>
      </c>
      <c r="E4" s="237" t="s">
        <v>144</v>
      </c>
      <c r="F4" s="237"/>
    </row>
    <row r="5" spans="1:16" ht="18" customHeight="1" x14ac:dyDescent="0.55000000000000004">
      <c r="A5" s="114"/>
      <c r="B5" s="246" t="str" cm="1">
        <f t="array" aca="1" ref="B5" ca="1">IFERROR(INDIRECT($A$6&amp;"!"&amp;$C4&amp;($A$3+(($A$2-2025)*12))),"")</f>
        <v/>
      </c>
      <c r="C5" s="247"/>
      <c r="D5" s="248" t="s">
        <v>124</v>
      </c>
      <c r="E5" s="249"/>
      <c r="F5" s="250"/>
      <c r="G5" s="115"/>
      <c r="H5" s="115"/>
      <c r="K5" s="251" t="s">
        <v>145</v>
      </c>
      <c r="L5" s="252"/>
      <c r="M5" s="257">
        <f ca="1">IFERROR(SUM(C19:C21,C28:C32,C40:C44),"")</f>
        <v>0</v>
      </c>
      <c r="N5" s="258"/>
    </row>
    <row r="6" spans="1:16" ht="18" customHeight="1" x14ac:dyDescent="0.55000000000000004">
      <c r="A6" s="263" t="s">
        <v>581</v>
      </c>
      <c r="B6" s="264"/>
      <c r="C6" s="265"/>
      <c r="D6" s="269" t="str" cm="1">
        <f t="array" aca="1" ref="D6" ca="1">IF(IFERROR(INDIRECT($A$6&amp;"!"&amp;E$4&amp;($A$3+((A2-2025)*12))),"")="男性","男子","女子")</f>
        <v>女子</v>
      </c>
      <c r="E6" s="270"/>
      <c r="F6" s="271"/>
      <c r="H6" s="115"/>
      <c r="K6" s="253"/>
      <c r="L6" s="254"/>
      <c r="M6" s="259"/>
      <c r="N6" s="260"/>
    </row>
    <row r="7" spans="1:16" ht="18" customHeight="1" thickBot="1" x14ac:dyDescent="0.6">
      <c r="A7" s="266"/>
      <c r="B7" s="267"/>
      <c r="C7" s="268"/>
      <c r="D7" s="272"/>
      <c r="E7" s="273"/>
      <c r="F7" s="274"/>
      <c r="K7" s="255"/>
      <c r="L7" s="256"/>
      <c r="M7" s="261"/>
      <c r="N7" s="262"/>
    </row>
    <row r="8" spans="1:16" ht="18.5" thickBot="1" x14ac:dyDescent="0.6">
      <c r="D8" s="44" t="s">
        <v>97</v>
      </c>
      <c r="N8" s="116"/>
    </row>
    <row r="9" spans="1:16" ht="18.5" thickBot="1" x14ac:dyDescent="0.6">
      <c r="A9" s="49" t="s">
        <v>146</v>
      </c>
      <c r="D9" s="238" t="s">
        <v>147</v>
      </c>
      <c r="E9" s="239"/>
      <c r="F9" s="48"/>
    </row>
    <row r="10" spans="1:16" ht="18.5" thickBot="1" x14ac:dyDescent="0.6">
      <c r="A10" s="49" t="s">
        <v>148</v>
      </c>
      <c r="B10" s="50" t="s">
        <v>149</v>
      </c>
      <c r="C10" s="51" t="s">
        <v>150</v>
      </c>
      <c r="D10" s="52" t="s">
        <v>151</v>
      </c>
      <c r="E10" s="238" t="s">
        <v>152</v>
      </c>
      <c r="F10" s="240"/>
      <c r="G10" s="241" t="s">
        <v>153</v>
      </c>
      <c r="H10" s="239"/>
      <c r="I10" s="115"/>
      <c r="J10" s="115"/>
      <c r="K10" s="115"/>
      <c r="L10" s="115"/>
    </row>
    <row r="11" spans="1:16" x14ac:dyDescent="0.55000000000000004">
      <c r="A11" s="117" t="s">
        <v>133</v>
      </c>
      <c r="B11" s="53" t="str" cm="1">
        <f t="array" aca="1" ref="B11" ca="1">IFERROR(INDIRECT($A$6&amp;"!"&amp;$I11&amp;($A$3+(($A$2-2025)*12))),"")</f>
        <v/>
      </c>
      <c r="C11" s="54" t="s">
        <v>140</v>
      </c>
      <c r="D11" s="118" t="str" cm="1">
        <f t="array" aca="1" ref="D11" ca="1">IFERROR(INDIRECT($A$6&amp;"!"&amp;$K11&amp;($A$3+(($A$2-2025)*12))),"")</f>
        <v/>
      </c>
      <c r="E11" s="244" t="str" cm="1">
        <f t="array" aca="1" ref="E11" ca="1">IFERROR(INDIRECT($A$6&amp;"!"&amp;$J11&amp;($A$3+(($A$2-2025)*12))),"")</f>
        <v/>
      </c>
      <c r="F11" s="245"/>
      <c r="G11" s="242" t="str" cm="1">
        <f t="array" aca="1" ref="G11" ca="1">IFERROR(INDIRECT($A$6&amp;"!"&amp;$J11&amp;(($A$3+(($A$2-2025)*12))-1)),"")</f>
        <v/>
      </c>
      <c r="H11" s="243"/>
      <c r="I11" s="158" t="s">
        <v>107</v>
      </c>
      <c r="J11" s="158" t="s">
        <v>113</v>
      </c>
      <c r="K11" s="158" t="s">
        <v>117</v>
      </c>
      <c r="L11" s="115"/>
    </row>
    <row r="12" spans="1:16" ht="17.5" customHeight="1" x14ac:dyDescent="0.55000000000000004">
      <c r="A12" s="56" t="s">
        <v>134</v>
      </c>
      <c r="B12" s="119" t="str" cm="1">
        <f t="array" aca="1" ref="B12" ca="1">IFERROR(INDIRECT($A$6&amp;"!"&amp;$I12&amp;($A$3+(($A$2-2025)*12))),"")</f>
        <v/>
      </c>
      <c r="C12" s="120" t="s">
        <v>140</v>
      </c>
      <c r="D12" s="121" t="str" cm="1">
        <f t="array" aca="1" ref="D12" ca="1">IFERROR(INDIRECT($A$6&amp;"!"&amp;$K12&amp;($A$3+(($A$2-2025)*12))),"")</f>
        <v/>
      </c>
      <c r="E12" s="229" t="str" cm="1">
        <f t="array" aca="1" ref="E12" ca="1">IFERROR(INDIRECT($A$6&amp;"!"&amp;$J12&amp;($A$3+(($A$2-2025)*12))),"")</f>
        <v/>
      </c>
      <c r="F12" s="230"/>
      <c r="G12" s="231" t="str" cm="1">
        <f t="array" aca="1" ref="G12" ca="1">IFERROR(INDIRECT($A$6&amp;"!"&amp;$J12&amp;(($A$3+(($A$2-2025)*12))-1)),"")</f>
        <v/>
      </c>
      <c r="H12" s="232"/>
      <c r="I12" s="158" t="s">
        <v>108</v>
      </c>
      <c r="J12" s="158" t="s">
        <v>114</v>
      </c>
      <c r="K12" s="158" t="s">
        <v>118</v>
      </c>
      <c r="L12" s="115"/>
    </row>
    <row r="13" spans="1:16" ht="18.5" customHeight="1" x14ac:dyDescent="0.55000000000000004">
      <c r="A13" s="122" t="s">
        <v>140</v>
      </c>
      <c r="B13" s="60" t="s">
        <v>140</v>
      </c>
      <c r="C13" s="123" t="s">
        <v>140</v>
      </c>
      <c r="D13" s="121" t="str" cm="1">
        <f t="array" aca="1" ref="D13" ca="1">IFERROR(INDIRECT($A$6&amp;"!"&amp;$K13&amp;($A$3+(($A$2-2025)*12))),"")</f>
        <v/>
      </c>
      <c r="E13" s="229" t="str" cm="1">
        <f t="array" aca="1" ref="E13" ca="1">IFERROR(INDIRECT($A$6&amp;"!"&amp;$J13&amp;($A$3+(($A$2-2025)*12))),"")</f>
        <v/>
      </c>
      <c r="F13" s="230"/>
      <c r="G13" s="231" t="str" cm="1">
        <f t="array" aca="1" ref="G13" ca="1">IFERROR(INDIRECT($A$6&amp;"!"&amp;$J13&amp;(($A$3+(($A$2-2025)*12))-1)),"")</f>
        <v/>
      </c>
      <c r="H13" s="232"/>
      <c r="I13" s="158"/>
      <c r="J13" s="158" t="s">
        <v>115</v>
      </c>
      <c r="K13" s="158" t="s">
        <v>119</v>
      </c>
      <c r="L13" s="115"/>
    </row>
    <row r="14" spans="1:16" ht="18" customHeight="1" thickBot="1" x14ac:dyDescent="0.6">
      <c r="A14" s="124" t="s">
        <v>140</v>
      </c>
      <c r="B14" s="125" t="s">
        <v>140</v>
      </c>
      <c r="C14" s="126" t="s">
        <v>140</v>
      </c>
      <c r="D14" s="127" t="str" cm="1">
        <f t="array" aca="1" ref="D14" ca="1">IFERROR(INDIRECT($A$6&amp;"!"&amp;$K14&amp;($A$3+(($A$2-2025)*12))),"")</f>
        <v/>
      </c>
      <c r="E14" s="233" t="str" cm="1">
        <f t="array" aca="1" ref="E14" ca="1">IFERROR(INDIRECT($A$6&amp;"!"&amp;J14&amp;($A$3+(($A$2-2025)*12))),"")</f>
        <v/>
      </c>
      <c r="F14" s="234"/>
      <c r="G14" s="235" t="str" cm="1">
        <f t="array" aca="1" ref="G14" ca="1">IFERROR(INDIRECT($A$6&amp;"!"&amp;J14&amp;(($A$3+(($A$2-2025)*12))-1)),"")</f>
        <v/>
      </c>
      <c r="H14" s="236"/>
      <c r="I14" s="158"/>
      <c r="J14" s="158" t="s">
        <v>116</v>
      </c>
      <c r="K14" s="158" t="s">
        <v>206</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154</v>
      </c>
      <c r="B17" s="63" t="s">
        <v>155</v>
      </c>
      <c r="O17" s="47"/>
      <c r="P17" s="47"/>
    </row>
    <row r="18" spans="1:17" ht="18" customHeight="1" thickBot="1" x14ac:dyDescent="0.6">
      <c r="A18" s="64" t="s">
        <v>148</v>
      </c>
      <c r="B18" s="65" t="s">
        <v>149</v>
      </c>
      <c r="C18" s="66" t="s">
        <v>139</v>
      </c>
      <c r="D18" s="67" t="s">
        <v>156</v>
      </c>
      <c r="E18" s="198" t="s">
        <v>157</v>
      </c>
      <c r="F18" s="199"/>
      <c r="G18" s="200" t="s">
        <v>158</v>
      </c>
      <c r="H18" s="199"/>
      <c r="I18" s="200" t="s">
        <v>159</v>
      </c>
      <c r="J18" s="199"/>
      <c r="K18" s="200" t="s">
        <v>160</v>
      </c>
      <c r="L18" s="199"/>
      <c r="M18" s="200" t="s">
        <v>161</v>
      </c>
      <c r="N18" s="201"/>
      <c r="O18" s="47"/>
      <c r="P18" s="47"/>
    </row>
    <row r="19" spans="1:17" ht="18" customHeight="1" x14ac:dyDescent="0.55000000000000004">
      <c r="A19" s="114" t="s">
        <v>162</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109</v>
      </c>
      <c r="P19" s="81">
        <v>7</v>
      </c>
    </row>
    <row r="20" spans="1:17" ht="18" customHeight="1" x14ac:dyDescent="0.55000000000000004">
      <c r="A20" s="133" t="s">
        <v>163</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111</v>
      </c>
      <c r="P20" s="81">
        <v>8</v>
      </c>
    </row>
    <row r="21" spans="1:17" ht="18" customHeight="1" x14ac:dyDescent="0.55000000000000004">
      <c r="A21" s="133" t="s">
        <v>33</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110</v>
      </c>
      <c r="P21" s="81">
        <v>9</v>
      </c>
    </row>
    <row r="22" spans="1:17" ht="18" customHeight="1" thickBot="1" x14ac:dyDescent="0.6">
      <c r="A22" s="135" t="s">
        <v>164</v>
      </c>
      <c r="B22" s="136" t="str" cm="1">
        <f t="array" aca="1" ref="B22" ca="1">IFERROR(INDIRECT($A$6&amp;"!"&amp;$O22&amp;($A$3+(($A$2-2025)*12))),"")</f>
        <v/>
      </c>
      <c r="C22" s="61" t="s">
        <v>140</v>
      </c>
      <c r="D22" s="62" t="s">
        <v>140</v>
      </c>
      <c r="E22" s="137"/>
      <c r="F22" s="71"/>
      <c r="G22" s="71"/>
      <c r="H22" s="72"/>
      <c r="I22" s="71"/>
      <c r="J22" s="71"/>
      <c r="K22" s="71"/>
      <c r="L22" s="137"/>
      <c r="M22" s="138"/>
      <c r="N22" s="139"/>
      <c r="O22" s="47" t="s">
        <v>112</v>
      </c>
      <c r="P22" s="47"/>
    </row>
    <row r="23" spans="1:17" ht="18" customHeight="1" x14ac:dyDescent="0.55000000000000004">
      <c r="F23" s="73"/>
      <c r="G23" s="217" t="s">
        <v>139</v>
      </c>
      <c r="H23" s="218"/>
      <c r="I23" s="219">
        <f ca="1">SUM(C19:C21)</f>
        <v>0</v>
      </c>
      <c r="J23" s="220"/>
      <c r="K23" s="217" t="s">
        <v>150</v>
      </c>
      <c r="L23" s="221"/>
      <c r="M23" s="222" t="str">
        <f ca="1">IF(I23&lt;11,"△",IF(I23&lt;21,"〇","◎"))</f>
        <v>△</v>
      </c>
      <c r="N23" s="223"/>
      <c r="O23" s="47"/>
      <c r="P23" s="47"/>
    </row>
    <row r="24" spans="1:17" ht="18" customHeight="1" thickBot="1" x14ac:dyDescent="0.6">
      <c r="F24" s="73"/>
      <c r="G24" s="205"/>
      <c r="H24" s="206"/>
      <c r="I24" s="209"/>
      <c r="J24" s="210"/>
      <c r="K24" s="205"/>
      <c r="L24" s="212"/>
      <c r="M24" s="224"/>
      <c r="N24" s="216"/>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165</v>
      </c>
      <c r="B26" s="63" t="s">
        <v>166</v>
      </c>
      <c r="F26" s="73"/>
      <c r="G26" s="73"/>
      <c r="H26" s="73"/>
      <c r="I26" s="73"/>
      <c r="J26" s="73"/>
      <c r="K26" s="73"/>
      <c r="O26" s="47"/>
      <c r="P26" s="47"/>
    </row>
    <row r="27" spans="1:17" ht="18" customHeight="1" thickBot="1" x14ac:dyDescent="0.6">
      <c r="A27" s="74" t="s">
        <v>148</v>
      </c>
      <c r="B27" s="75" t="s">
        <v>149</v>
      </c>
      <c r="C27" s="76" t="s">
        <v>139</v>
      </c>
      <c r="D27" s="77" t="s">
        <v>156</v>
      </c>
      <c r="E27" s="194" t="s">
        <v>157</v>
      </c>
      <c r="F27" s="195"/>
      <c r="G27" s="196" t="s">
        <v>158</v>
      </c>
      <c r="H27" s="195"/>
      <c r="I27" s="196" t="s">
        <v>159</v>
      </c>
      <c r="J27" s="195"/>
      <c r="K27" s="196" t="s">
        <v>160</v>
      </c>
      <c r="L27" s="195"/>
      <c r="M27" s="196" t="s">
        <v>161</v>
      </c>
      <c r="N27" s="197"/>
      <c r="O27" s="47"/>
      <c r="P27" s="47"/>
    </row>
    <row r="28" spans="1:17" ht="18" customHeight="1" x14ac:dyDescent="0.55000000000000004">
      <c r="A28" s="78" t="s">
        <v>167</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101</v>
      </c>
      <c r="P28" s="81">
        <v>4</v>
      </c>
    </row>
    <row r="29" spans="1:17" ht="18" customHeight="1" x14ac:dyDescent="0.55000000000000004">
      <c r="A29" s="79" t="s">
        <v>168</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96</v>
      </c>
      <c r="P29" s="81">
        <v>5</v>
      </c>
    </row>
    <row r="30" spans="1:17" ht="18" customHeight="1" x14ac:dyDescent="0.55000000000000004">
      <c r="A30" s="79" t="s">
        <v>169</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99</v>
      </c>
      <c r="P30" s="81">
        <v>6</v>
      </c>
    </row>
    <row r="31" spans="1:17" ht="18" customHeight="1" x14ac:dyDescent="0.55000000000000004">
      <c r="A31" s="79" t="s">
        <v>170</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100</v>
      </c>
      <c r="P31" s="81">
        <v>3</v>
      </c>
    </row>
    <row r="32" spans="1:17" ht="18" customHeight="1" x14ac:dyDescent="0.55000000000000004">
      <c r="A32" s="79" t="s">
        <v>171</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98</v>
      </c>
      <c r="P32" s="81">
        <v>2</v>
      </c>
    </row>
    <row r="33" spans="1:28" ht="18" customHeight="1" x14ac:dyDescent="0.55000000000000004">
      <c r="A33" s="79" t="s">
        <v>172</v>
      </c>
      <c r="B33" s="142" t="str" cm="1">
        <f t="array" aca="1" ref="B33" ca="1">IFERROR(INDIRECT($A$6&amp;"!"&amp;$O33&amp;($A$3+(($A$2-2025)*12))),"")</f>
        <v/>
      </c>
      <c r="C33" s="58" t="s">
        <v>140</v>
      </c>
      <c r="D33" s="59" t="s">
        <v>140</v>
      </c>
      <c r="E33" s="129"/>
      <c r="F33" s="68"/>
      <c r="G33" s="68"/>
      <c r="H33" s="69"/>
      <c r="I33" s="68"/>
      <c r="J33" s="68"/>
      <c r="K33" s="68"/>
      <c r="L33" s="129"/>
      <c r="M33" s="131"/>
      <c r="N33" s="132"/>
      <c r="O33" s="47" t="s">
        <v>97</v>
      </c>
      <c r="P33" s="47"/>
      <c r="R33" s="80"/>
    </row>
    <row r="34" spans="1:28" ht="18" customHeight="1" thickBot="1" x14ac:dyDescent="0.6">
      <c r="A34" s="83" t="s">
        <v>173</v>
      </c>
      <c r="B34" s="143" t="str" cm="1">
        <f t="array" aca="1" ref="B34" ca="1">IFERROR(INDIRECT($A$6&amp;"!"&amp;$O34&amp;($A$3+(($A$2-2025)*12))),"")</f>
        <v/>
      </c>
      <c r="C34" s="61" t="s">
        <v>140</v>
      </c>
      <c r="D34" s="62" t="s">
        <v>140</v>
      </c>
      <c r="E34" s="137"/>
      <c r="F34" s="71"/>
      <c r="G34" s="71"/>
      <c r="H34" s="72"/>
      <c r="I34" s="71"/>
      <c r="J34" s="71"/>
      <c r="K34" s="71"/>
      <c r="L34" s="144"/>
      <c r="M34" s="138"/>
      <c r="N34" s="139"/>
      <c r="O34" s="47" t="s">
        <v>95</v>
      </c>
      <c r="P34" s="47"/>
      <c r="R34" s="82"/>
    </row>
    <row r="35" spans="1:28" ht="18" customHeight="1" x14ac:dyDescent="0.55000000000000004">
      <c r="F35" s="73"/>
      <c r="G35" s="217" t="s">
        <v>139</v>
      </c>
      <c r="H35" s="218"/>
      <c r="I35" s="219">
        <f ca="1">SUM(C28:C32)</f>
        <v>0</v>
      </c>
      <c r="J35" s="220"/>
      <c r="K35" s="217" t="s">
        <v>150</v>
      </c>
      <c r="L35" s="221"/>
      <c r="M35" s="225" t="str">
        <f ca="1">IF(I35&lt;17,"△",IF(I35&lt;34,"〇","◎"))</f>
        <v>△</v>
      </c>
      <c r="N35" s="226"/>
      <c r="O35" s="47"/>
      <c r="P35" s="47"/>
      <c r="Q35" s="141"/>
      <c r="R35" s="82"/>
    </row>
    <row r="36" spans="1:28" ht="18" customHeight="1" thickBot="1" x14ac:dyDescent="0.6">
      <c r="F36" s="73"/>
      <c r="G36" s="205"/>
      <c r="H36" s="206"/>
      <c r="I36" s="209"/>
      <c r="J36" s="210"/>
      <c r="K36" s="205"/>
      <c r="L36" s="212"/>
      <c r="M36" s="227"/>
      <c r="N36" s="228"/>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174</v>
      </c>
      <c r="B38" s="63" t="s">
        <v>175</v>
      </c>
      <c r="F38" s="73"/>
      <c r="G38" s="73"/>
      <c r="H38" s="73"/>
      <c r="I38" s="73"/>
      <c r="J38" s="73"/>
      <c r="K38" s="73"/>
      <c r="O38" s="47"/>
      <c r="P38" s="47"/>
      <c r="Q38" s="82"/>
      <c r="R38" s="82"/>
      <c r="T38" s="73"/>
      <c r="U38" s="73"/>
      <c r="V38" s="73"/>
      <c r="W38" s="73"/>
      <c r="X38" s="73"/>
      <c r="Y38" s="73"/>
    </row>
    <row r="39" spans="1:28" ht="18" customHeight="1" thickBot="1" x14ac:dyDescent="0.6">
      <c r="A39" s="84" t="s">
        <v>148</v>
      </c>
      <c r="B39" s="85" t="s">
        <v>149</v>
      </c>
      <c r="C39" s="86" t="s">
        <v>139</v>
      </c>
      <c r="D39" s="163" t="s">
        <v>156</v>
      </c>
      <c r="E39" s="190" t="s">
        <v>157</v>
      </c>
      <c r="F39" s="191"/>
      <c r="G39" s="192" t="s">
        <v>158</v>
      </c>
      <c r="H39" s="191"/>
      <c r="I39" s="192" t="s">
        <v>159</v>
      </c>
      <c r="J39" s="191"/>
      <c r="K39" s="192" t="s">
        <v>160</v>
      </c>
      <c r="L39" s="191"/>
      <c r="M39" s="192" t="s">
        <v>161</v>
      </c>
      <c r="N39" s="193"/>
      <c r="O39" s="47"/>
      <c r="P39" s="47"/>
      <c r="Q39" s="82"/>
      <c r="R39" s="82"/>
      <c r="T39" s="73"/>
      <c r="U39" s="73"/>
      <c r="V39" s="73"/>
      <c r="W39" s="73"/>
      <c r="X39" s="73"/>
      <c r="Y39" s="73"/>
    </row>
    <row r="40" spans="1:28" ht="18" customHeight="1" x14ac:dyDescent="0.55000000000000004">
      <c r="A40" s="78" t="s">
        <v>129</v>
      </c>
      <c r="B40" s="164" t="str" cm="1">
        <f t="array" aca="1" ref="B40" ca="1">IFERROR(INDIRECT($A$6&amp;"!"&amp;$O40&amp;($A$3+(($A$2-2025)*12))),"")</f>
        <v/>
      </c>
      <c r="C40" s="165" t="str">
        <f ca="1">B40</f>
        <v/>
      </c>
      <c r="D40" s="166" t="s">
        <v>140</v>
      </c>
      <c r="E40" s="145"/>
      <c r="F40" s="69"/>
      <c r="G40" s="68"/>
      <c r="H40" s="69"/>
      <c r="I40" s="68"/>
      <c r="J40" s="69"/>
      <c r="K40" s="68"/>
      <c r="L40" s="129"/>
      <c r="M40" s="131"/>
      <c r="N40" s="146"/>
      <c r="O40" s="47" t="s">
        <v>102</v>
      </c>
      <c r="P40" s="47"/>
      <c r="Q40" s="80"/>
      <c r="R40" s="80"/>
      <c r="S40" s="202"/>
      <c r="T40" s="202"/>
      <c r="U40" s="202"/>
      <c r="V40" s="202"/>
      <c r="W40" s="202"/>
      <c r="X40" s="202"/>
      <c r="Y40" s="202"/>
      <c r="Z40" s="202"/>
      <c r="AA40" s="202"/>
      <c r="AB40" s="202"/>
    </row>
    <row r="41" spans="1:28" ht="18" customHeight="1" x14ac:dyDescent="0.55000000000000004">
      <c r="A41" s="79" t="s">
        <v>130</v>
      </c>
      <c r="B41" s="167" t="str" cm="1">
        <f t="array" aca="1" ref="B41" ca="1">IFERROR(INDIRECT($A$6&amp;"!"&amp;$O41&amp;($A$3+(($A$2-2025)*12))),"")</f>
        <v/>
      </c>
      <c r="C41" s="168" t="str">
        <f t="shared" ref="C41:C43" ca="1" si="0">B41</f>
        <v/>
      </c>
      <c r="D41" s="169" t="s">
        <v>140</v>
      </c>
      <c r="E41" s="147"/>
      <c r="F41" s="87"/>
      <c r="G41" s="88"/>
      <c r="H41" s="87"/>
      <c r="I41" s="88"/>
      <c r="J41" s="87"/>
      <c r="K41" s="88"/>
      <c r="L41" s="148"/>
      <c r="M41" s="149"/>
      <c r="N41" s="150"/>
      <c r="O41" s="47" t="s">
        <v>103</v>
      </c>
      <c r="P41" s="47"/>
      <c r="Q41" s="82"/>
      <c r="R41" s="82"/>
      <c r="S41" s="73"/>
      <c r="X41" s="73"/>
      <c r="Y41" s="73"/>
    </row>
    <row r="42" spans="1:28" ht="18" customHeight="1" x14ac:dyDescent="0.55000000000000004">
      <c r="A42" s="79" t="s">
        <v>131</v>
      </c>
      <c r="B42" s="167" t="str" cm="1">
        <f t="array" aca="1" ref="B42" ca="1">IFERROR(INDIRECT($A$6&amp;"!"&amp;$O42&amp;($A$3+(($A$2-2025)*12))),"")</f>
        <v/>
      </c>
      <c r="C42" s="168" t="str">
        <f t="shared" ca="1" si="0"/>
        <v/>
      </c>
      <c r="D42" s="169" t="s">
        <v>140</v>
      </c>
      <c r="E42" s="147"/>
      <c r="F42" s="87"/>
      <c r="G42" s="88"/>
      <c r="H42" s="87"/>
      <c r="I42" s="88"/>
      <c r="J42" s="87"/>
      <c r="K42" s="88"/>
      <c r="L42" s="148"/>
      <c r="M42" s="149"/>
      <c r="N42" s="150"/>
      <c r="O42" s="47" t="s">
        <v>104</v>
      </c>
      <c r="P42" s="47"/>
      <c r="Q42" s="82"/>
      <c r="R42" s="82"/>
      <c r="S42" s="73"/>
      <c r="X42" s="73"/>
      <c r="Y42" s="73"/>
    </row>
    <row r="43" spans="1:28" ht="18" customHeight="1" x14ac:dyDescent="0.55000000000000004">
      <c r="A43" s="79" t="s">
        <v>132</v>
      </c>
      <c r="B43" s="167" t="str" cm="1">
        <f t="array" aca="1" ref="B43" ca="1">IFERROR(INDIRECT($A$6&amp;"!"&amp;$O43&amp;($A$3+(($A$2-2025)*12))),"")</f>
        <v/>
      </c>
      <c r="C43" s="168" t="str">
        <f t="shared" ca="1" si="0"/>
        <v/>
      </c>
      <c r="D43" s="169" t="s">
        <v>140</v>
      </c>
      <c r="E43" s="147"/>
      <c r="F43" s="87"/>
      <c r="G43" s="88"/>
      <c r="H43" s="87"/>
      <c r="I43" s="88"/>
      <c r="J43" s="87"/>
      <c r="K43" s="88"/>
      <c r="L43" s="148"/>
      <c r="M43" s="149"/>
      <c r="N43" s="150"/>
      <c r="O43" s="47" t="s">
        <v>105</v>
      </c>
      <c r="P43" s="47"/>
      <c r="Q43" s="82"/>
      <c r="R43" s="82"/>
      <c r="S43" s="73"/>
      <c r="X43" s="73"/>
      <c r="Y43" s="73"/>
    </row>
    <row r="44" spans="1:28" ht="18" customHeight="1" thickBot="1" x14ac:dyDescent="0.6">
      <c r="A44" s="83" t="s">
        <v>176</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106</v>
      </c>
      <c r="P44" s="81">
        <v>10</v>
      </c>
      <c r="Q44" s="82"/>
      <c r="R44" s="82"/>
      <c r="S44" s="73"/>
      <c r="X44" s="73"/>
      <c r="Y44" s="73"/>
    </row>
    <row r="45" spans="1:28" ht="18" customHeight="1" x14ac:dyDescent="0.55000000000000004">
      <c r="G45" s="203" t="s">
        <v>139</v>
      </c>
      <c r="H45" s="204"/>
      <c r="I45" s="207">
        <f ca="1">SUM(C40:C44)</f>
        <v>0</v>
      </c>
      <c r="J45" s="208"/>
      <c r="K45" s="203" t="s">
        <v>150</v>
      </c>
      <c r="L45" s="211"/>
      <c r="M45" s="213" t="str">
        <f ca="1">IF(I45&lt;17,"△",IF(I45&lt;34,"〇","◎"))</f>
        <v>△</v>
      </c>
      <c r="N45" s="214"/>
      <c r="O45" s="47"/>
      <c r="P45" s="47"/>
    </row>
    <row r="46" spans="1:28" ht="18" customHeight="1" thickBot="1" x14ac:dyDescent="0.6">
      <c r="G46" s="205"/>
      <c r="H46" s="206"/>
      <c r="I46" s="209"/>
      <c r="J46" s="210"/>
      <c r="K46" s="205"/>
      <c r="L46" s="212"/>
      <c r="M46" s="215"/>
      <c r="N46" s="216"/>
      <c r="O46" s="47"/>
      <c r="P46" s="81"/>
      <c r="S46" s="73"/>
      <c r="X46" s="73"/>
      <c r="Y46" s="73"/>
    </row>
    <row r="47" spans="1:28" ht="18" customHeight="1" thickBot="1" x14ac:dyDescent="0.6">
      <c r="A47" s="89" t="s">
        <v>177</v>
      </c>
      <c r="O47" s="47"/>
      <c r="P47" s="47"/>
      <c r="S47" s="202"/>
      <c r="T47" s="202"/>
      <c r="U47" s="202"/>
      <c r="V47" s="202"/>
      <c r="W47" s="202"/>
      <c r="X47" s="202"/>
      <c r="Y47" s="202"/>
      <c r="Z47" s="202"/>
      <c r="AA47" s="202"/>
      <c r="AB47" s="202"/>
    </row>
    <row r="48" spans="1:28" ht="18" customHeight="1" x14ac:dyDescent="0.55000000000000004">
      <c r="A48" s="181" t="str" cm="1">
        <f t="array" aca="1" ref="A48" ca="1">IFERROR(INDIRECT($A$6&amp;"!"&amp;$Q48&amp;($A$3+(($A$2-2025)*12))),"")</f>
        <v/>
      </c>
      <c r="B48" s="182"/>
      <c r="C48" s="182"/>
      <c r="D48" s="182"/>
      <c r="E48" s="182"/>
      <c r="F48" s="182"/>
      <c r="G48" s="182"/>
      <c r="H48" s="182"/>
      <c r="I48" s="182"/>
      <c r="J48" s="182"/>
      <c r="K48" s="182"/>
      <c r="L48" s="182"/>
      <c r="M48" s="182"/>
      <c r="N48" s="182"/>
      <c r="O48" s="182"/>
      <c r="P48" s="183"/>
      <c r="Q48" s="46" t="s">
        <v>207</v>
      </c>
      <c r="S48" s="15"/>
      <c r="T48" s="15"/>
      <c r="U48" s="15"/>
      <c r="V48" s="15"/>
      <c r="W48" s="15"/>
      <c r="X48" s="15"/>
      <c r="Y48" s="15"/>
      <c r="Z48" s="15"/>
      <c r="AA48" s="15"/>
      <c r="AB48" s="15"/>
    </row>
    <row r="49" spans="1:16" x14ac:dyDescent="0.55000000000000004">
      <c r="A49" s="184"/>
      <c r="B49" s="185"/>
      <c r="C49" s="185"/>
      <c r="D49" s="185"/>
      <c r="E49" s="185"/>
      <c r="F49" s="185"/>
      <c r="G49" s="185"/>
      <c r="H49" s="185"/>
      <c r="I49" s="185"/>
      <c r="J49" s="185"/>
      <c r="K49" s="185"/>
      <c r="L49" s="185"/>
      <c r="M49" s="185"/>
      <c r="N49" s="185"/>
      <c r="O49" s="185"/>
      <c r="P49" s="186"/>
    </row>
    <row r="50" spans="1:16" ht="18" customHeight="1" x14ac:dyDescent="0.55000000000000004">
      <c r="A50" s="184"/>
      <c r="B50" s="185"/>
      <c r="C50" s="185"/>
      <c r="D50" s="185"/>
      <c r="E50" s="185"/>
      <c r="F50" s="185"/>
      <c r="G50" s="185"/>
      <c r="H50" s="185"/>
      <c r="I50" s="185"/>
      <c r="J50" s="185"/>
      <c r="K50" s="185"/>
      <c r="L50" s="185"/>
      <c r="M50" s="185"/>
      <c r="N50" s="185"/>
      <c r="O50" s="185"/>
      <c r="P50" s="186"/>
    </row>
    <row r="51" spans="1:16" x14ac:dyDescent="0.55000000000000004">
      <c r="A51" s="184"/>
      <c r="B51" s="185"/>
      <c r="C51" s="185"/>
      <c r="D51" s="185"/>
      <c r="E51" s="185"/>
      <c r="F51" s="185"/>
      <c r="G51" s="185"/>
      <c r="H51" s="185"/>
      <c r="I51" s="185"/>
      <c r="J51" s="185"/>
      <c r="K51" s="185"/>
      <c r="L51" s="185"/>
      <c r="M51" s="185"/>
      <c r="N51" s="185"/>
      <c r="O51" s="185"/>
      <c r="P51" s="186"/>
    </row>
    <row r="52" spans="1:16" x14ac:dyDescent="0.55000000000000004">
      <c r="A52" s="184"/>
      <c r="B52" s="185"/>
      <c r="C52" s="185"/>
      <c r="D52" s="185"/>
      <c r="E52" s="185"/>
      <c r="F52" s="185"/>
      <c r="G52" s="185"/>
      <c r="H52" s="185"/>
      <c r="I52" s="185"/>
      <c r="J52" s="185"/>
      <c r="K52" s="185"/>
      <c r="L52" s="185"/>
      <c r="M52" s="185"/>
      <c r="N52" s="185"/>
      <c r="O52" s="185"/>
      <c r="P52" s="186"/>
    </row>
    <row r="53" spans="1:16" ht="18.5" thickBot="1" x14ac:dyDescent="0.6">
      <c r="A53" s="187"/>
      <c r="B53" s="188"/>
      <c r="C53" s="188"/>
      <c r="D53" s="188"/>
      <c r="E53" s="188"/>
      <c r="F53" s="188"/>
      <c r="G53" s="188"/>
      <c r="H53" s="188"/>
      <c r="I53" s="188"/>
      <c r="J53" s="188"/>
      <c r="K53" s="188"/>
      <c r="L53" s="188"/>
      <c r="M53" s="188"/>
      <c r="N53" s="188"/>
      <c r="O53" s="188"/>
      <c r="P53" s="189"/>
    </row>
    <row r="55" spans="1:16" x14ac:dyDescent="0.55000000000000004">
      <c r="C55" s="153"/>
    </row>
  </sheetData>
  <mergeCells count="56">
    <mergeCell ref="B5:C5"/>
    <mergeCell ref="D5:F5"/>
    <mergeCell ref="K5:L7"/>
    <mergeCell ref="M5:N7"/>
    <mergeCell ref="A6:C7"/>
    <mergeCell ref="D6:F7"/>
    <mergeCell ref="E13:F13"/>
    <mergeCell ref="G13:H13"/>
    <mergeCell ref="E14:F14"/>
    <mergeCell ref="G14:H14"/>
    <mergeCell ref="E4:F4"/>
    <mergeCell ref="E12:F12"/>
    <mergeCell ref="G12:H12"/>
    <mergeCell ref="D9:E9"/>
    <mergeCell ref="E10:F10"/>
    <mergeCell ref="G10:H10"/>
    <mergeCell ref="G11:H11"/>
    <mergeCell ref="E11:F11"/>
    <mergeCell ref="G23:H24"/>
    <mergeCell ref="I23:J24"/>
    <mergeCell ref="K23:L24"/>
    <mergeCell ref="M23:N24"/>
    <mergeCell ref="M35:N36"/>
    <mergeCell ref="K35:L36"/>
    <mergeCell ref="I35:J36"/>
    <mergeCell ref="G35:H36"/>
    <mergeCell ref="S40:T40"/>
    <mergeCell ref="U40:V40"/>
    <mergeCell ref="W40:X40"/>
    <mergeCell ref="Y40:Z40"/>
    <mergeCell ref="AA40:AB40"/>
    <mergeCell ref="W47:X47"/>
    <mergeCell ref="Y47:Z47"/>
    <mergeCell ref="AA47:AB47"/>
    <mergeCell ref="G45:H46"/>
    <mergeCell ref="I45:J46"/>
    <mergeCell ref="K45:L46"/>
    <mergeCell ref="M45:N46"/>
    <mergeCell ref="S47:T47"/>
    <mergeCell ref="U47:V47"/>
    <mergeCell ref="E18:F18"/>
    <mergeCell ref="G18:H18"/>
    <mergeCell ref="I18:J18"/>
    <mergeCell ref="K18:L18"/>
    <mergeCell ref="M18:N18"/>
    <mergeCell ref="E27:F27"/>
    <mergeCell ref="G27:H27"/>
    <mergeCell ref="I27:J27"/>
    <mergeCell ref="K27:L27"/>
    <mergeCell ref="M27:N27"/>
    <mergeCell ref="A48:P53"/>
    <mergeCell ref="E39:F39"/>
    <mergeCell ref="G39:H39"/>
    <mergeCell ref="I39:J39"/>
    <mergeCell ref="K39:L39"/>
    <mergeCell ref="M39:N39"/>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208</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54</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68</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62</v>
      </c>
      <c r="E11" s="23" t="s">
        <v>68</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68</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208</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69</v>
      </c>
      <c r="E13" s="23" t="s">
        <v>55</v>
      </c>
      <c r="F13" s="23">
        <v>16.5</v>
      </c>
      <c r="G13" s="23">
        <v>0.14799999999999999</v>
      </c>
      <c r="H13" s="23">
        <v>10.3</v>
      </c>
      <c r="I13" s="23">
        <v>0.7</v>
      </c>
      <c r="J13" s="23">
        <v>28</v>
      </c>
      <c r="K13" s="23">
        <v>48</v>
      </c>
      <c r="L13" s="23">
        <v>17.5</v>
      </c>
      <c r="M13" s="23">
        <v>5</v>
      </c>
      <c r="N13" s="23">
        <v>7</v>
      </c>
      <c r="O13" s="23">
        <v>2</v>
      </c>
      <c r="P13" s="23">
        <v>1</v>
      </c>
      <c r="Q13" s="23">
        <v>54</v>
      </c>
      <c r="R13" s="23">
        <v>107.1</v>
      </c>
      <c r="S13" s="23">
        <v>17</v>
      </c>
      <c r="T13" s="23">
        <v>15.4</v>
      </c>
      <c r="U13" s="108">
        <v>149</v>
      </c>
      <c r="V13" s="23">
        <v>0.78</v>
      </c>
      <c r="W13" s="23">
        <v>8.1</v>
      </c>
      <c r="X13" s="23">
        <v>164</v>
      </c>
      <c r="Y13" s="23">
        <v>174</v>
      </c>
      <c r="Z13" s="23">
        <v>182</v>
      </c>
      <c r="AA13" s="23">
        <v>188</v>
      </c>
      <c r="AB13" s="13">
        <v>6</v>
      </c>
      <c r="AC13" s="13">
        <v>7</v>
      </c>
      <c r="AD13" s="13">
        <v>8</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208</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89</v>
      </c>
      <c r="E13" s="23" t="s">
        <v>55</v>
      </c>
      <c r="F13" s="23">
        <v>21.6</v>
      </c>
      <c r="G13" s="23">
        <v>0.192</v>
      </c>
      <c r="H13" s="23">
        <v>15.4</v>
      </c>
      <c r="I13" s="23">
        <v>0.8</v>
      </c>
      <c r="J13" s="23">
        <v>48</v>
      </c>
      <c r="K13" s="23">
        <v>151</v>
      </c>
      <c r="L13" s="23">
        <v>21.7</v>
      </c>
      <c r="M13" s="23">
        <v>5</v>
      </c>
      <c r="N13" s="23">
        <v>9</v>
      </c>
      <c r="O13" s="23">
        <v>1</v>
      </c>
      <c r="P13" s="23">
        <v>4</v>
      </c>
      <c r="Q13" s="23">
        <v>48</v>
      </c>
      <c r="R13" s="23">
        <v>130.30000000000001</v>
      </c>
      <c r="S13" s="23">
        <v>25.2</v>
      </c>
      <c r="T13" s="23">
        <v>18</v>
      </c>
      <c r="U13" s="108">
        <v>478</v>
      </c>
      <c r="V13" s="23">
        <v>0.9</v>
      </c>
      <c r="W13" s="23">
        <v>7.45</v>
      </c>
      <c r="X13" s="23">
        <v>114</v>
      </c>
      <c r="Y13" s="23">
        <v>145</v>
      </c>
      <c r="Z13" s="23">
        <v>154</v>
      </c>
      <c r="AA13" s="23">
        <v>169</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208</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208</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121</v>
      </c>
      <c r="B3" s="177"/>
      <c r="C3" s="155" t="s">
        <v>122</v>
      </c>
      <c r="D3" s="9" t="s">
        <v>123</v>
      </c>
      <c r="E3" s="9" t="s">
        <v>124</v>
      </c>
      <c r="F3" s="9" t="s">
        <v>125</v>
      </c>
      <c r="G3" s="9" t="s">
        <v>126</v>
      </c>
      <c r="H3" s="9" t="s">
        <v>127</v>
      </c>
      <c r="I3" s="9" t="s">
        <v>50</v>
      </c>
      <c r="J3" s="9" t="s">
        <v>52</v>
      </c>
      <c r="K3" s="9" t="s">
        <v>128</v>
      </c>
      <c r="L3" s="9" t="s">
        <v>47</v>
      </c>
      <c r="M3" s="9" t="s">
        <v>193</v>
      </c>
      <c r="N3" s="9" t="s">
        <v>194</v>
      </c>
      <c r="O3" s="9" t="s">
        <v>195</v>
      </c>
      <c r="P3" s="9" t="s">
        <v>196</v>
      </c>
      <c r="Q3" s="9" t="s">
        <v>197</v>
      </c>
      <c r="R3" s="9" t="s">
        <v>133</v>
      </c>
      <c r="S3" s="9" t="s">
        <v>134</v>
      </c>
      <c r="T3" s="9" t="s">
        <v>135</v>
      </c>
      <c r="U3" s="9" t="s">
        <v>33</v>
      </c>
      <c r="V3" s="9" t="s">
        <v>136</v>
      </c>
      <c r="W3" s="9" t="s">
        <v>137</v>
      </c>
      <c r="X3" s="9" t="s">
        <v>198</v>
      </c>
      <c r="Y3" s="9" t="s">
        <v>199</v>
      </c>
      <c r="Z3" s="9" t="s">
        <v>200</v>
      </c>
      <c r="AA3" s="9" t="s">
        <v>201</v>
      </c>
      <c r="AB3" s="154" t="s">
        <v>202</v>
      </c>
      <c r="AC3" s="154" t="s">
        <v>203</v>
      </c>
      <c r="AD3" s="154" t="s">
        <v>204</v>
      </c>
      <c r="AE3" s="154" t="s">
        <v>205</v>
      </c>
      <c r="AF3" s="10" t="s">
        <v>138</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208</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75</v>
      </c>
      <c r="E13" s="23" t="s">
        <v>68</v>
      </c>
      <c r="F13" s="23">
        <v>24.2</v>
      </c>
      <c r="G13" s="23">
        <v>0.184</v>
      </c>
      <c r="H13" s="23">
        <v>23.4</v>
      </c>
      <c r="I13" s="23">
        <v>1.27</v>
      </c>
      <c r="J13" s="23">
        <v>52</v>
      </c>
      <c r="K13" s="23">
        <v>174</v>
      </c>
      <c r="L13" s="23">
        <v>24.8</v>
      </c>
      <c r="M13" s="23">
        <v>5</v>
      </c>
      <c r="N13" s="23">
        <v>10</v>
      </c>
      <c r="O13" s="23">
        <v>9</v>
      </c>
      <c r="P13" s="23">
        <v>8</v>
      </c>
      <c r="Q13" s="23">
        <v>42</v>
      </c>
      <c r="R13" s="23">
        <v>143.6</v>
      </c>
      <c r="S13" s="23">
        <v>40.5</v>
      </c>
      <c r="T13" s="23">
        <v>21.1</v>
      </c>
      <c r="U13" s="108">
        <v>607</v>
      </c>
      <c r="V13" s="23">
        <v>0.92</v>
      </c>
      <c r="W13" s="23">
        <v>6.86</v>
      </c>
      <c r="X13" s="23">
        <v>187</v>
      </c>
      <c r="Y13" s="23">
        <v>193</v>
      </c>
      <c r="Z13" s="23">
        <v>198</v>
      </c>
      <c r="AA13" s="23">
        <v>196</v>
      </c>
      <c r="AB13" s="13">
        <v>8</v>
      </c>
      <c r="AC13" s="13">
        <v>9</v>
      </c>
      <c r="AD13" s="13">
        <v>10</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141</v>
      </c>
      <c r="B43">
        <v>20.399999999999999</v>
      </c>
      <c r="C43">
        <v>3.7</v>
      </c>
    </row>
    <row r="44" spans="1:33" x14ac:dyDescent="0.55000000000000004">
      <c r="A44" t="s">
        <v>142</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123</v>
      </c>
      <c r="B1" s="90" t="s">
        <v>148</v>
      </c>
      <c r="C1" s="91">
        <v>1</v>
      </c>
      <c r="D1" s="92">
        <v>2</v>
      </c>
      <c r="E1" s="92">
        <v>3</v>
      </c>
      <c r="F1" s="92">
        <v>4</v>
      </c>
      <c r="G1" s="92">
        <v>5</v>
      </c>
      <c r="H1" s="92">
        <v>6</v>
      </c>
      <c r="I1" s="92">
        <v>7</v>
      </c>
      <c r="J1" s="92">
        <v>8</v>
      </c>
      <c r="K1" s="92">
        <v>9</v>
      </c>
      <c r="L1" s="93">
        <v>10</v>
      </c>
    </row>
    <row r="2" spans="1:18" x14ac:dyDescent="0.55000000000000004">
      <c r="A2" s="275" t="s">
        <v>178</v>
      </c>
      <c r="B2" s="94" t="s">
        <v>179</v>
      </c>
      <c r="C2" s="53">
        <v>0.12</v>
      </c>
      <c r="D2" s="55">
        <v>0.13</v>
      </c>
      <c r="E2" s="55">
        <v>0.31</v>
      </c>
      <c r="F2" s="55">
        <v>0.4</v>
      </c>
      <c r="G2" s="55">
        <v>0.49</v>
      </c>
      <c r="H2" s="55">
        <v>0.84</v>
      </c>
      <c r="I2" s="55">
        <v>0.93</v>
      </c>
      <c r="J2" s="55">
        <v>1.02</v>
      </c>
      <c r="K2" s="55">
        <v>1.2</v>
      </c>
      <c r="L2" s="54">
        <v>1.38</v>
      </c>
    </row>
    <row r="3" spans="1:18" x14ac:dyDescent="0.55000000000000004">
      <c r="A3" s="276"/>
      <c r="B3" s="95" t="s">
        <v>180</v>
      </c>
      <c r="C3" s="96">
        <v>99</v>
      </c>
      <c r="D3" s="58">
        <v>100</v>
      </c>
      <c r="E3" s="58">
        <v>110</v>
      </c>
      <c r="F3" s="58">
        <v>115</v>
      </c>
      <c r="G3" s="58">
        <v>120</v>
      </c>
      <c r="H3" s="58">
        <v>139</v>
      </c>
      <c r="I3" s="58">
        <v>144</v>
      </c>
      <c r="J3" s="58">
        <v>149</v>
      </c>
      <c r="K3" s="58">
        <v>159</v>
      </c>
      <c r="L3" s="59">
        <v>169</v>
      </c>
    </row>
    <row r="4" spans="1:18" x14ac:dyDescent="0.55000000000000004">
      <c r="A4" s="276"/>
      <c r="B4" s="95" t="s">
        <v>181</v>
      </c>
      <c r="C4" s="96">
        <v>6.7</v>
      </c>
      <c r="D4" s="58">
        <v>6.8</v>
      </c>
      <c r="E4" s="58">
        <v>9.1999999999999993</v>
      </c>
      <c r="F4" s="58">
        <v>10.4</v>
      </c>
      <c r="G4" s="58">
        <v>11.6</v>
      </c>
      <c r="H4" s="58">
        <v>16.3</v>
      </c>
      <c r="I4" s="58">
        <v>17.5</v>
      </c>
      <c r="J4" s="58">
        <v>18.7</v>
      </c>
      <c r="K4" s="58">
        <v>21.1</v>
      </c>
      <c r="L4" s="59">
        <v>23.5</v>
      </c>
    </row>
    <row r="5" spans="1:18" x14ac:dyDescent="0.55000000000000004">
      <c r="A5" s="276"/>
      <c r="B5" s="95" t="s">
        <v>182</v>
      </c>
      <c r="C5" s="96">
        <v>11</v>
      </c>
      <c r="D5" s="58">
        <v>11.1</v>
      </c>
      <c r="E5" s="58">
        <v>13.6</v>
      </c>
      <c r="F5" s="58">
        <v>14.9</v>
      </c>
      <c r="G5" s="58">
        <v>16.100000000000001</v>
      </c>
      <c r="H5" s="58">
        <v>21</v>
      </c>
      <c r="I5" s="58">
        <v>22.3</v>
      </c>
      <c r="J5" s="58">
        <v>23.5</v>
      </c>
      <c r="K5" s="58">
        <v>26</v>
      </c>
      <c r="L5" s="59">
        <v>28.5</v>
      </c>
    </row>
    <row r="6" spans="1:18" x14ac:dyDescent="0.55000000000000004">
      <c r="A6" s="276"/>
      <c r="B6" s="95" t="s">
        <v>52</v>
      </c>
      <c r="C6" s="96">
        <v>32</v>
      </c>
      <c r="D6" s="58">
        <v>33</v>
      </c>
      <c r="E6" s="58">
        <v>37</v>
      </c>
      <c r="F6" s="58">
        <v>38</v>
      </c>
      <c r="G6" s="58">
        <v>40</v>
      </c>
      <c r="H6" s="58">
        <v>46</v>
      </c>
      <c r="I6" s="58">
        <v>48</v>
      </c>
      <c r="J6" s="58">
        <v>50</v>
      </c>
      <c r="K6" s="58">
        <v>53</v>
      </c>
      <c r="L6" s="59">
        <v>57</v>
      </c>
    </row>
    <row r="7" spans="1:18" x14ac:dyDescent="0.55000000000000004">
      <c r="A7" s="276"/>
      <c r="B7" s="95" t="s">
        <v>135</v>
      </c>
      <c r="C7" s="96">
        <v>11.1</v>
      </c>
      <c r="D7" s="58">
        <v>11.2</v>
      </c>
      <c r="E7" s="58">
        <v>12.4</v>
      </c>
      <c r="F7" s="58">
        <v>13.1</v>
      </c>
      <c r="G7" s="58">
        <v>13.7</v>
      </c>
      <c r="H7" s="58">
        <v>16.100000000000001</v>
      </c>
      <c r="I7" s="58">
        <v>16.7</v>
      </c>
      <c r="J7" s="58">
        <v>17.3</v>
      </c>
      <c r="K7" s="58">
        <v>18.600000000000001</v>
      </c>
      <c r="L7" s="59">
        <v>19.8</v>
      </c>
    </row>
    <row r="8" spans="1:18" x14ac:dyDescent="0.55000000000000004">
      <c r="A8" s="276"/>
      <c r="B8" s="95" t="s">
        <v>136</v>
      </c>
      <c r="C8" s="96">
        <v>0.83</v>
      </c>
      <c r="D8" s="58">
        <v>0.84</v>
      </c>
      <c r="E8" s="58">
        <v>0.86</v>
      </c>
      <c r="F8" s="58">
        <v>0.87</v>
      </c>
      <c r="G8" s="58">
        <v>0.88</v>
      </c>
      <c r="H8" s="58">
        <v>0.91</v>
      </c>
      <c r="I8" s="58">
        <v>0.92</v>
      </c>
      <c r="J8" s="58">
        <v>0.93</v>
      </c>
      <c r="K8" s="58">
        <v>0.95</v>
      </c>
      <c r="L8" s="59">
        <v>0.97</v>
      </c>
    </row>
    <row r="9" spans="1:18" x14ac:dyDescent="0.55000000000000004">
      <c r="A9" s="276"/>
      <c r="B9" s="95" t="s">
        <v>33</v>
      </c>
      <c r="C9" s="96">
        <v>343</v>
      </c>
      <c r="D9" s="58">
        <v>344</v>
      </c>
      <c r="E9" s="58">
        <v>381</v>
      </c>
      <c r="F9" s="58">
        <v>400</v>
      </c>
      <c r="G9" s="58">
        <v>419</v>
      </c>
      <c r="H9" s="58">
        <v>493</v>
      </c>
      <c r="I9" s="58">
        <v>511</v>
      </c>
      <c r="J9" s="58">
        <v>530</v>
      </c>
      <c r="K9" s="58">
        <v>568</v>
      </c>
      <c r="L9" s="59">
        <v>605</v>
      </c>
    </row>
    <row r="10" spans="1:18" ht="18.5" thickBot="1" x14ac:dyDescent="0.6">
      <c r="A10" s="277"/>
      <c r="B10" s="97" t="s">
        <v>183</v>
      </c>
      <c r="C10" s="98">
        <v>65</v>
      </c>
      <c r="D10" s="61">
        <v>63</v>
      </c>
      <c r="E10" s="61">
        <v>62</v>
      </c>
      <c r="F10" s="61">
        <v>60</v>
      </c>
      <c r="G10" s="61">
        <v>56</v>
      </c>
      <c r="H10" s="61">
        <v>55</v>
      </c>
      <c r="I10" s="61">
        <v>54</v>
      </c>
      <c r="J10" s="61">
        <v>53</v>
      </c>
      <c r="K10" s="61">
        <v>52</v>
      </c>
      <c r="L10" s="62">
        <v>51</v>
      </c>
    </row>
    <row r="11" spans="1:18" x14ac:dyDescent="0.55000000000000004">
      <c r="A11" s="275" t="s">
        <v>184</v>
      </c>
      <c r="B11" s="94" t="s">
        <v>179</v>
      </c>
      <c r="C11" s="53">
        <v>0.25</v>
      </c>
      <c r="D11" s="55">
        <v>0.26</v>
      </c>
      <c r="E11" s="55">
        <v>0.44</v>
      </c>
      <c r="F11" s="55">
        <v>0.53</v>
      </c>
      <c r="G11" s="55">
        <v>0.62</v>
      </c>
      <c r="H11" s="55">
        <v>0.97</v>
      </c>
      <c r="I11" s="55">
        <v>1.06</v>
      </c>
      <c r="J11" s="55">
        <v>1.1499999999999999</v>
      </c>
      <c r="K11" s="55">
        <v>1.33</v>
      </c>
      <c r="L11" s="54">
        <v>1.51</v>
      </c>
    </row>
    <row r="12" spans="1:18" x14ac:dyDescent="0.55000000000000004">
      <c r="A12" s="276"/>
      <c r="B12" s="95" t="s">
        <v>180</v>
      </c>
      <c r="C12" s="96">
        <v>102</v>
      </c>
      <c r="D12" s="58">
        <v>103</v>
      </c>
      <c r="E12" s="58">
        <v>113</v>
      </c>
      <c r="F12" s="58">
        <v>118</v>
      </c>
      <c r="G12" s="58">
        <v>123</v>
      </c>
      <c r="H12" s="58">
        <v>142</v>
      </c>
      <c r="I12" s="58">
        <v>147</v>
      </c>
      <c r="J12" s="58">
        <v>152</v>
      </c>
      <c r="K12" s="58">
        <v>162</v>
      </c>
      <c r="L12" s="59">
        <v>172</v>
      </c>
    </row>
    <row r="13" spans="1:18" x14ac:dyDescent="0.55000000000000004">
      <c r="A13" s="276"/>
      <c r="B13" s="95" t="s">
        <v>181</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6"/>
      <c r="B14" s="95" t="s">
        <v>182</v>
      </c>
      <c r="C14" s="96">
        <v>11</v>
      </c>
      <c r="D14" s="58">
        <v>11.1</v>
      </c>
      <c r="E14" s="58">
        <v>13.6</v>
      </c>
      <c r="F14" s="58">
        <v>14.9</v>
      </c>
      <c r="G14" s="58">
        <v>16.100000000000001</v>
      </c>
      <c r="H14" s="58">
        <v>21</v>
      </c>
      <c r="I14" s="58">
        <v>22.3</v>
      </c>
      <c r="J14" s="58">
        <v>23.5</v>
      </c>
      <c r="K14" s="58">
        <v>26</v>
      </c>
      <c r="L14" s="59">
        <v>28.5</v>
      </c>
    </row>
    <row r="15" spans="1:18" x14ac:dyDescent="0.55000000000000004">
      <c r="A15" s="276"/>
      <c r="B15" s="95" t="s">
        <v>52</v>
      </c>
      <c r="C15" s="96">
        <v>35</v>
      </c>
      <c r="D15" s="58">
        <v>36</v>
      </c>
      <c r="E15" s="58">
        <v>40</v>
      </c>
      <c r="F15" s="58">
        <v>41</v>
      </c>
      <c r="G15" s="58">
        <v>43</v>
      </c>
      <c r="H15" s="58">
        <v>49</v>
      </c>
      <c r="I15" s="58">
        <v>51</v>
      </c>
      <c r="J15" s="58">
        <v>53</v>
      </c>
      <c r="K15" s="58">
        <v>56</v>
      </c>
      <c r="L15" s="59">
        <v>60</v>
      </c>
    </row>
    <row r="16" spans="1:18" x14ac:dyDescent="0.55000000000000004">
      <c r="A16" s="276"/>
      <c r="B16" s="95" t="s">
        <v>135</v>
      </c>
      <c r="C16" s="96">
        <v>13.1</v>
      </c>
      <c r="D16" s="58">
        <v>13.2</v>
      </c>
      <c r="E16" s="58">
        <v>14.4</v>
      </c>
      <c r="F16" s="58">
        <v>15</v>
      </c>
      <c r="G16" s="58">
        <v>15.7</v>
      </c>
      <c r="H16" s="58">
        <v>18.100000000000001</v>
      </c>
      <c r="I16" s="58">
        <v>18.7</v>
      </c>
      <c r="J16" s="58">
        <v>19.3</v>
      </c>
      <c r="K16" s="58">
        <v>20.6</v>
      </c>
      <c r="L16" s="59">
        <v>21.8</v>
      </c>
    </row>
    <row r="17" spans="1:12" x14ac:dyDescent="0.55000000000000004">
      <c r="A17" s="276"/>
      <c r="B17" s="95" t="s">
        <v>136</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372</v>
      </c>
      <c r="D18" s="58">
        <v>373</v>
      </c>
      <c r="E18" s="58">
        <v>411</v>
      </c>
      <c r="F18" s="58">
        <v>430</v>
      </c>
      <c r="G18" s="58">
        <v>448</v>
      </c>
      <c r="H18" s="58">
        <v>522</v>
      </c>
      <c r="I18" s="58">
        <v>541</v>
      </c>
      <c r="J18" s="58">
        <v>560</v>
      </c>
      <c r="K18" s="58">
        <v>597</v>
      </c>
      <c r="L18" s="59">
        <v>635</v>
      </c>
    </row>
    <row r="19" spans="1:12" ht="18.5" thickBot="1" x14ac:dyDescent="0.6">
      <c r="A19" s="277"/>
      <c r="B19" s="97" t="s">
        <v>183</v>
      </c>
      <c r="C19" s="98">
        <v>63</v>
      </c>
      <c r="D19" s="61">
        <v>61</v>
      </c>
      <c r="E19" s="61">
        <v>60</v>
      </c>
      <c r="F19" s="61">
        <v>58</v>
      </c>
      <c r="G19" s="61">
        <v>54</v>
      </c>
      <c r="H19" s="61">
        <v>53</v>
      </c>
      <c r="I19" s="61">
        <v>52</v>
      </c>
      <c r="J19" s="61">
        <v>51</v>
      </c>
      <c r="K19" s="61">
        <v>50</v>
      </c>
      <c r="L19" s="62">
        <v>49</v>
      </c>
    </row>
    <row r="20" spans="1:12" x14ac:dyDescent="0.55000000000000004">
      <c r="A20" s="275" t="s">
        <v>185</v>
      </c>
      <c r="B20" s="94" t="s">
        <v>179</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180</v>
      </c>
      <c r="C21" s="96">
        <v>110</v>
      </c>
      <c r="D21" s="58">
        <v>111</v>
      </c>
      <c r="E21" s="58">
        <v>121</v>
      </c>
      <c r="F21" s="58">
        <v>126</v>
      </c>
      <c r="G21" s="58">
        <v>131</v>
      </c>
      <c r="H21" s="58">
        <v>150</v>
      </c>
      <c r="I21" s="58">
        <v>155</v>
      </c>
      <c r="J21" s="58">
        <v>160</v>
      </c>
      <c r="K21" s="58">
        <v>170</v>
      </c>
      <c r="L21" s="59">
        <v>180</v>
      </c>
    </row>
    <row r="22" spans="1:12" x14ac:dyDescent="0.55000000000000004">
      <c r="A22" s="276"/>
      <c r="B22" s="95" t="s">
        <v>181</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182</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135</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136</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183</v>
      </c>
      <c r="C28" s="98">
        <v>62</v>
      </c>
      <c r="D28" s="61">
        <v>60</v>
      </c>
      <c r="E28" s="61">
        <v>59</v>
      </c>
      <c r="F28" s="61">
        <v>57</v>
      </c>
      <c r="G28" s="61">
        <v>53</v>
      </c>
      <c r="H28" s="61">
        <v>52</v>
      </c>
      <c r="I28" s="61">
        <v>51</v>
      </c>
      <c r="J28" s="61">
        <v>50</v>
      </c>
      <c r="K28" s="61">
        <v>49</v>
      </c>
      <c r="L28" s="62">
        <v>48</v>
      </c>
    </row>
    <row r="29" spans="1:12" x14ac:dyDescent="0.55000000000000004">
      <c r="A29" s="278" t="s">
        <v>186</v>
      </c>
      <c r="B29" s="99" t="s">
        <v>179</v>
      </c>
      <c r="C29" s="60">
        <v>0.51</v>
      </c>
      <c r="D29" s="57">
        <v>0.52</v>
      </c>
      <c r="E29" s="57">
        <v>0.7</v>
      </c>
      <c r="F29" s="57">
        <v>0.79</v>
      </c>
      <c r="G29" s="57">
        <v>0.88</v>
      </c>
      <c r="H29" s="57">
        <v>1.23</v>
      </c>
      <c r="I29" s="57">
        <v>1.32</v>
      </c>
      <c r="J29" s="57">
        <v>1.41</v>
      </c>
      <c r="K29" s="57">
        <v>1.59</v>
      </c>
      <c r="L29" s="100">
        <v>1.77</v>
      </c>
    </row>
    <row r="30" spans="1:12" x14ac:dyDescent="0.55000000000000004">
      <c r="A30" s="276"/>
      <c r="B30" s="95" t="s">
        <v>180</v>
      </c>
      <c r="C30" s="96">
        <v>121</v>
      </c>
      <c r="D30" s="58">
        <v>122</v>
      </c>
      <c r="E30" s="58">
        <v>132</v>
      </c>
      <c r="F30" s="58">
        <v>137</v>
      </c>
      <c r="G30" s="58">
        <v>142</v>
      </c>
      <c r="H30" s="58">
        <v>161</v>
      </c>
      <c r="I30" s="58">
        <v>166</v>
      </c>
      <c r="J30" s="58">
        <v>171</v>
      </c>
      <c r="K30" s="58">
        <v>181</v>
      </c>
      <c r="L30" s="59">
        <v>191</v>
      </c>
    </row>
    <row r="31" spans="1:12" x14ac:dyDescent="0.55000000000000004">
      <c r="A31" s="276"/>
      <c r="B31" s="95" t="s">
        <v>181</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6"/>
      <c r="B32" s="95" t="s">
        <v>182</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6"/>
      <c r="B33" s="95" t="s">
        <v>52</v>
      </c>
      <c r="C33" s="96">
        <v>40</v>
      </c>
      <c r="D33" s="58">
        <v>41</v>
      </c>
      <c r="E33" s="58">
        <v>45</v>
      </c>
      <c r="F33" s="58">
        <v>46</v>
      </c>
      <c r="G33" s="58">
        <v>48</v>
      </c>
      <c r="H33" s="58">
        <v>54</v>
      </c>
      <c r="I33" s="58">
        <v>56</v>
      </c>
      <c r="J33" s="58">
        <v>58</v>
      </c>
      <c r="K33" s="58">
        <v>61</v>
      </c>
      <c r="L33" s="59">
        <v>65</v>
      </c>
    </row>
    <row r="34" spans="1:12" x14ac:dyDescent="0.55000000000000004">
      <c r="A34" s="276"/>
      <c r="B34" s="95" t="s">
        <v>135</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6"/>
      <c r="B35" s="95" t="s">
        <v>136</v>
      </c>
      <c r="C35" s="96">
        <v>0.84</v>
      </c>
      <c r="D35" s="58">
        <v>0.85</v>
      </c>
      <c r="E35" s="58">
        <v>0.87</v>
      </c>
      <c r="F35" s="58">
        <v>0.88</v>
      </c>
      <c r="G35" s="58">
        <v>0.89</v>
      </c>
      <c r="H35" s="58">
        <v>0.92</v>
      </c>
      <c r="I35" s="58">
        <v>0.93</v>
      </c>
      <c r="J35" s="58">
        <v>0.94</v>
      </c>
      <c r="K35" s="58">
        <v>0.96</v>
      </c>
      <c r="L35" s="59">
        <v>0.98</v>
      </c>
    </row>
    <row r="36" spans="1:12" x14ac:dyDescent="0.55000000000000004">
      <c r="A36" s="276"/>
      <c r="B36" s="95" t="s">
        <v>33</v>
      </c>
      <c r="C36" s="96">
        <v>427</v>
      </c>
      <c r="D36" s="58">
        <v>428</v>
      </c>
      <c r="E36" s="58">
        <v>466</v>
      </c>
      <c r="F36" s="58">
        <v>484</v>
      </c>
      <c r="G36" s="58">
        <v>503</v>
      </c>
      <c r="H36" s="58">
        <v>577</v>
      </c>
      <c r="I36" s="58">
        <v>596</v>
      </c>
      <c r="J36" s="58">
        <v>615</v>
      </c>
      <c r="K36" s="58">
        <v>652</v>
      </c>
      <c r="L36" s="59">
        <v>690</v>
      </c>
    </row>
    <row r="37" spans="1:12" ht="18.5" thickBot="1" x14ac:dyDescent="0.6">
      <c r="A37" s="279"/>
      <c r="B37" s="101" t="s">
        <v>183</v>
      </c>
      <c r="C37" s="102">
        <v>60</v>
      </c>
      <c r="D37" s="103">
        <v>58</v>
      </c>
      <c r="E37" s="103">
        <v>57</v>
      </c>
      <c r="F37" s="103">
        <v>55</v>
      </c>
      <c r="G37" s="103">
        <v>51</v>
      </c>
      <c r="H37" s="103">
        <v>50</v>
      </c>
      <c r="I37" s="103">
        <v>49</v>
      </c>
      <c r="J37" s="103">
        <v>48</v>
      </c>
      <c r="K37" s="103">
        <v>47</v>
      </c>
      <c r="L37" s="104">
        <v>46</v>
      </c>
    </row>
    <row r="38" spans="1:12" x14ac:dyDescent="0.55000000000000004">
      <c r="A38" s="275" t="s">
        <v>187</v>
      </c>
      <c r="B38" s="94" t="s">
        <v>179</v>
      </c>
      <c r="C38" s="53">
        <v>0.62</v>
      </c>
      <c r="D38" s="55">
        <v>0.63</v>
      </c>
      <c r="E38" s="55">
        <v>0.81</v>
      </c>
      <c r="F38" s="55">
        <v>0.9</v>
      </c>
      <c r="G38" s="55">
        <v>0.99</v>
      </c>
      <c r="H38" s="55">
        <v>1.34</v>
      </c>
      <c r="I38" s="55">
        <v>1.43</v>
      </c>
      <c r="J38" s="55">
        <v>1.52</v>
      </c>
      <c r="K38" s="55">
        <v>1.7</v>
      </c>
      <c r="L38" s="54">
        <v>1.88</v>
      </c>
    </row>
    <row r="39" spans="1:12" x14ac:dyDescent="0.55000000000000004">
      <c r="A39" s="276"/>
      <c r="B39" s="95" t="s">
        <v>180</v>
      </c>
      <c r="C39" s="96">
        <v>133</v>
      </c>
      <c r="D39" s="58">
        <v>134</v>
      </c>
      <c r="E39" s="58">
        <v>144</v>
      </c>
      <c r="F39" s="58">
        <v>149</v>
      </c>
      <c r="G39" s="58">
        <v>154</v>
      </c>
      <c r="H39" s="58">
        <v>173</v>
      </c>
      <c r="I39" s="58">
        <v>178</v>
      </c>
      <c r="J39" s="58">
        <v>183</v>
      </c>
      <c r="K39" s="58">
        <v>193</v>
      </c>
      <c r="L39" s="59">
        <v>203</v>
      </c>
    </row>
    <row r="40" spans="1:12" x14ac:dyDescent="0.55000000000000004">
      <c r="A40" s="276"/>
      <c r="B40" s="95" t="s">
        <v>181</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6"/>
      <c r="B41" s="95" t="s">
        <v>182</v>
      </c>
      <c r="C41" s="96">
        <v>16.899999999999999</v>
      </c>
      <c r="D41" s="58">
        <v>17</v>
      </c>
      <c r="E41" s="58">
        <v>19.5</v>
      </c>
      <c r="F41" s="58">
        <v>20.8</v>
      </c>
      <c r="G41" s="58">
        <v>22</v>
      </c>
      <c r="H41" s="58">
        <v>26.9</v>
      </c>
      <c r="I41" s="58">
        <v>28.2</v>
      </c>
      <c r="J41" s="58">
        <v>29.4</v>
      </c>
      <c r="K41" s="58">
        <v>31.9</v>
      </c>
      <c r="L41" s="59">
        <v>34.4</v>
      </c>
    </row>
    <row r="42" spans="1:12" x14ac:dyDescent="0.55000000000000004">
      <c r="A42" s="276"/>
      <c r="B42" s="95" t="s">
        <v>52</v>
      </c>
      <c r="C42" s="96">
        <v>42</v>
      </c>
      <c r="D42" s="58">
        <v>43</v>
      </c>
      <c r="E42" s="58">
        <v>47</v>
      </c>
      <c r="F42" s="58">
        <v>49</v>
      </c>
      <c r="G42" s="58">
        <v>50</v>
      </c>
      <c r="H42" s="58">
        <v>56</v>
      </c>
      <c r="I42" s="58">
        <v>58</v>
      </c>
      <c r="J42" s="58">
        <v>60</v>
      </c>
      <c r="K42" s="58">
        <v>63</v>
      </c>
      <c r="L42" s="59">
        <v>67</v>
      </c>
    </row>
    <row r="43" spans="1:12" x14ac:dyDescent="0.55000000000000004">
      <c r="A43" s="276"/>
      <c r="B43" s="95" t="s">
        <v>135</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6"/>
      <c r="B44" s="95" t="s">
        <v>136</v>
      </c>
      <c r="C44" s="96">
        <v>0.84</v>
      </c>
      <c r="D44" s="58">
        <v>0.85</v>
      </c>
      <c r="E44" s="58">
        <v>0.87</v>
      </c>
      <c r="F44" s="58">
        <v>0.88</v>
      </c>
      <c r="G44" s="58">
        <v>0.89</v>
      </c>
      <c r="H44" s="58">
        <v>0.92</v>
      </c>
      <c r="I44" s="58">
        <v>0.93</v>
      </c>
      <c r="J44" s="58">
        <v>0.94</v>
      </c>
      <c r="K44" s="58">
        <v>0.96</v>
      </c>
      <c r="L44" s="59">
        <v>0.98</v>
      </c>
    </row>
    <row r="45" spans="1:12" x14ac:dyDescent="0.55000000000000004">
      <c r="A45" s="276"/>
      <c r="B45" s="95" t="s">
        <v>33</v>
      </c>
      <c r="C45" s="96">
        <v>452</v>
      </c>
      <c r="D45" s="58">
        <v>453</v>
      </c>
      <c r="E45" s="58">
        <v>491</v>
      </c>
      <c r="F45" s="58">
        <v>509</v>
      </c>
      <c r="G45" s="58">
        <v>528</v>
      </c>
      <c r="H45" s="58">
        <v>602</v>
      </c>
      <c r="I45" s="58">
        <v>621</v>
      </c>
      <c r="J45" s="58">
        <v>640</v>
      </c>
      <c r="K45" s="58">
        <v>677</v>
      </c>
      <c r="L45" s="59">
        <v>715</v>
      </c>
    </row>
    <row r="46" spans="1:12" ht="18.5" thickBot="1" x14ac:dyDescent="0.6">
      <c r="A46" s="277"/>
      <c r="B46" s="97" t="s">
        <v>183</v>
      </c>
      <c r="C46" s="98">
        <v>59</v>
      </c>
      <c r="D46" s="61">
        <v>57</v>
      </c>
      <c r="E46" s="61">
        <v>56</v>
      </c>
      <c r="F46" s="61">
        <v>54</v>
      </c>
      <c r="G46" s="61">
        <v>50</v>
      </c>
      <c r="H46" s="61">
        <v>49</v>
      </c>
      <c r="I46" s="61">
        <v>48</v>
      </c>
      <c r="J46" s="61">
        <v>47</v>
      </c>
      <c r="K46" s="61">
        <v>46</v>
      </c>
      <c r="L46" s="62">
        <v>45</v>
      </c>
    </row>
    <row r="47" spans="1:12" x14ac:dyDescent="0.55000000000000004">
      <c r="A47" s="278" t="s">
        <v>188</v>
      </c>
      <c r="B47" s="99" t="s">
        <v>179</v>
      </c>
      <c r="C47" s="60">
        <v>0.73</v>
      </c>
      <c r="D47" s="57">
        <v>0.74</v>
      </c>
      <c r="E47" s="57">
        <v>0.92</v>
      </c>
      <c r="F47" s="57">
        <v>1.01</v>
      </c>
      <c r="G47" s="57">
        <v>1.1000000000000001</v>
      </c>
      <c r="H47" s="57">
        <v>1.45</v>
      </c>
      <c r="I47" s="57">
        <v>1.54</v>
      </c>
      <c r="J47" s="57">
        <v>1.63</v>
      </c>
      <c r="K47" s="57">
        <v>1.81</v>
      </c>
      <c r="L47" s="100">
        <v>1.99</v>
      </c>
    </row>
    <row r="48" spans="1:12" x14ac:dyDescent="0.55000000000000004">
      <c r="A48" s="276"/>
      <c r="B48" s="95" t="s">
        <v>180</v>
      </c>
      <c r="C48" s="96">
        <v>147</v>
      </c>
      <c r="D48" s="58">
        <v>148</v>
      </c>
      <c r="E48" s="58">
        <v>158</v>
      </c>
      <c r="F48" s="58">
        <v>163</v>
      </c>
      <c r="G48" s="58">
        <v>168</v>
      </c>
      <c r="H48" s="58">
        <v>187</v>
      </c>
      <c r="I48" s="58">
        <v>192</v>
      </c>
      <c r="J48" s="58">
        <v>197</v>
      </c>
      <c r="K48" s="58">
        <v>207</v>
      </c>
      <c r="L48" s="59">
        <v>217</v>
      </c>
    </row>
    <row r="49" spans="1:12" x14ac:dyDescent="0.55000000000000004">
      <c r="A49" s="276"/>
      <c r="B49" s="95" t="s">
        <v>181</v>
      </c>
      <c r="C49" s="96">
        <v>19.100000000000001</v>
      </c>
      <c r="D49" s="58">
        <v>19.2</v>
      </c>
      <c r="E49" s="58">
        <v>21.6</v>
      </c>
      <c r="F49" s="58">
        <v>22.8</v>
      </c>
      <c r="G49" s="58">
        <v>24</v>
      </c>
      <c r="H49" s="58">
        <v>28.7</v>
      </c>
      <c r="I49" s="58">
        <v>29.9</v>
      </c>
      <c r="J49" s="58">
        <v>31.1</v>
      </c>
      <c r="K49" s="58">
        <v>33.5</v>
      </c>
      <c r="L49" s="59">
        <v>35.9</v>
      </c>
    </row>
    <row r="50" spans="1:12" x14ac:dyDescent="0.55000000000000004">
      <c r="A50" s="276"/>
      <c r="B50" s="95" t="s">
        <v>182</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6"/>
      <c r="B51" s="95" t="s">
        <v>52</v>
      </c>
      <c r="C51" s="96">
        <v>44</v>
      </c>
      <c r="D51" s="58">
        <v>45</v>
      </c>
      <c r="E51" s="58">
        <v>49</v>
      </c>
      <c r="F51" s="58">
        <v>50</v>
      </c>
      <c r="G51" s="58">
        <v>52</v>
      </c>
      <c r="H51" s="58">
        <v>58</v>
      </c>
      <c r="I51" s="58">
        <v>60</v>
      </c>
      <c r="J51" s="58">
        <v>62</v>
      </c>
      <c r="K51" s="58">
        <v>65</v>
      </c>
      <c r="L51" s="59">
        <v>69</v>
      </c>
    </row>
    <row r="52" spans="1:12" x14ac:dyDescent="0.55000000000000004">
      <c r="A52" s="276"/>
      <c r="B52" s="95" t="s">
        <v>135</v>
      </c>
      <c r="C52" s="96">
        <v>19.2</v>
      </c>
      <c r="D52" s="58">
        <v>19.3</v>
      </c>
      <c r="E52" s="58">
        <v>20.6</v>
      </c>
      <c r="F52" s="58">
        <v>21.2</v>
      </c>
      <c r="G52" s="58">
        <v>21.8</v>
      </c>
      <c r="H52" s="58">
        <v>24.2</v>
      </c>
      <c r="I52" s="58">
        <v>24.9</v>
      </c>
      <c r="J52" s="58">
        <v>25.5</v>
      </c>
      <c r="K52" s="58">
        <v>26.7</v>
      </c>
      <c r="L52" s="59">
        <v>28</v>
      </c>
    </row>
    <row r="53" spans="1:12" x14ac:dyDescent="0.55000000000000004">
      <c r="A53" s="276"/>
      <c r="B53" s="95" t="s">
        <v>136</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475</v>
      </c>
      <c r="D54" s="58">
        <v>476</v>
      </c>
      <c r="E54" s="58">
        <v>514</v>
      </c>
      <c r="F54" s="58">
        <v>533</v>
      </c>
      <c r="G54" s="58">
        <v>551</v>
      </c>
      <c r="H54" s="58">
        <v>625</v>
      </c>
      <c r="I54" s="58">
        <v>644</v>
      </c>
      <c r="J54" s="58">
        <v>663</v>
      </c>
      <c r="K54" s="58">
        <v>700</v>
      </c>
      <c r="L54" s="59">
        <v>738</v>
      </c>
    </row>
    <row r="55" spans="1:12" ht="18.5" thickBot="1" x14ac:dyDescent="0.6">
      <c r="A55" s="279"/>
      <c r="B55" s="101" t="s">
        <v>183</v>
      </c>
      <c r="C55" s="102">
        <v>57</v>
      </c>
      <c r="D55" s="103">
        <v>55</v>
      </c>
      <c r="E55" s="103">
        <v>54</v>
      </c>
      <c r="F55" s="103">
        <v>52</v>
      </c>
      <c r="G55" s="103">
        <v>48</v>
      </c>
      <c r="H55" s="103">
        <v>47</v>
      </c>
      <c r="I55" s="103">
        <v>46</v>
      </c>
      <c r="J55" s="103">
        <v>45</v>
      </c>
      <c r="K55" s="103">
        <v>44</v>
      </c>
      <c r="L55" s="104">
        <v>43</v>
      </c>
    </row>
    <row r="56" spans="1:12" x14ac:dyDescent="0.55000000000000004">
      <c r="A56" s="275" t="s">
        <v>189</v>
      </c>
      <c r="B56" s="94" t="s">
        <v>179</v>
      </c>
      <c r="C56" s="53">
        <v>0.82</v>
      </c>
      <c r="D56" s="55">
        <v>0.83</v>
      </c>
      <c r="E56" s="55">
        <v>1.01</v>
      </c>
      <c r="F56" s="55">
        <v>1.1000000000000001</v>
      </c>
      <c r="G56" s="55">
        <v>1.19</v>
      </c>
      <c r="H56" s="55">
        <v>1.54</v>
      </c>
      <c r="I56" s="55">
        <v>1.63</v>
      </c>
      <c r="J56" s="55">
        <v>1.72</v>
      </c>
      <c r="K56" s="55">
        <v>1.9</v>
      </c>
      <c r="L56" s="54">
        <v>2.08</v>
      </c>
    </row>
    <row r="57" spans="1:12" x14ac:dyDescent="0.55000000000000004">
      <c r="A57" s="276"/>
      <c r="B57" s="95" t="s">
        <v>180</v>
      </c>
      <c r="C57" s="96">
        <v>160</v>
      </c>
      <c r="D57" s="58">
        <v>161</v>
      </c>
      <c r="E57" s="58">
        <v>171</v>
      </c>
      <c r="F57" s="58">
        <v>176</v>
      </c>
      <c r="G57" s="58">
        <v>181</v>
      </c>
      <c r="H57" s="58">
        <v>200</v>
      </c>
      <c r="I57" s="58">
        <v>205</v>
      </c>
      <c r="J57" s="58">
        <v>210</v>
      </c>
      <c r="K57" s="58">
        <v>220</v>
      </c>
      <c r="L57" s="59">
        <v>230</v>
      </c>
    </row>
    <row r="58" spans="1:12" x14ac:dyDescent="0.55000000000000004">
      <c r="A58" s="276"/>
      <c r="B58" s="95" t="s">
        <v>181</v>
      </c>
      <c r="C58" s="96">
        <v>21.1</v>
      </c>
      <c r="D58" s="58">
        <v>21.2</v>
      </c>
      <c r="E58" s="58">
        <v>23.6</v>
      </c>
      <c r="F58" s="58">
        <v>24.8</v>
      </c>
      <c r="G58" s="58">
        <v>26</v>
      </c>
      <c r="H58" s="58">
        <v>30.7</v>
      </c>
      <c r="I58" s="58">
        <v>31.9</v>
      </c>
      <c r="J58" s="58">
        <v>33.1</v>
      </c>
      <c r="K58" s="58">
        <v>35.5</v>
      </c>
      <c r="L58" s="59">
        <v>37.9</v>
      </c>
    </row>
    <row r="59" spans="1:12" x14ac:dyDescent="0.55000000000000004">
      <c r="A59" s="276"/>
      <c r="B59" s="95" t="s">
        <v>182</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6"/>
      <c r="B60" s="95" t="s">
        <v>52</v>
      </c>
      <c r="C60" s="96">
        <v>46</v>
      </c>
      <c r="D60" s="58">
        <v>47</v>
      </c>
      <c r="E60" s="58">
        <v>50</v>
      </c>
      <c r="F60" s="58">
        <v>52</v>
      </c>
      <c r="G60" s="58">
        <v>54</v>
      </c>
      <c r="H60" s="58">
        <v>60</v>
      </c>
      <c r="I60" s="58">
        <v>61</v>
      </c>
      <c r="J60" s="58">
        <v>63</v>
      </c>
      <c r="K60" s="58">
        <v>67</v>
      </c>
      <c r="L60" s="59">
        <v>70</v>
      </c>
    </row>
    <row r="61" spans="1:12" x14ac:dyDescent="0.55000000000000004">
      <c r="A61" s="276"/>
      <c r="B61" s="95" t="s">
        <v>135</v>
      </c>
      <c r="C61" s="96">
        <v>20.399999999999999</v>
      </c>
      <c r="D61" s="58">
        <v>20.5</v>
      </c>
      <c r="E61" s="58">
        <v>21.7</v>
      </c>
      <c r="F61" s="58">
        <v>22.3</v>
      </c>
      <c r="G61" s="58">
        <v>23</v>
      </c>
      <c r="H61" s="58">
        <v>25.4</v>
      </c>
      <c r="I61" s="58">
        <v>26</v>
      </c>
      <c r="J61" s="58">
        <v>26.6</v>
      </c>
      <c r="K61" s="58">
        <v>27.9</v>
      </c>
      <c r="L61" s="59">
        <v>29.1</v>
      </c>
    </row>
    <row r="62" spans="1:12" x14ac:dyDescent="0.55000000000000004">
      <c r="A62" s="276"/>
      <c r="B62" s="95" t="s">
        <v>136</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497</v>
      </c>
      <c r="D63" s="58">
        <v>498</v>
      </c>
      <c r="E63" s="58">
        <v>535</v>
      </c>
      <c r="F63" s="58">
        <v>554</v>
      </c>
      <c r="G63" s="58">
        <v>573</v>
      </c>
      <c r="H63" s="58">
        <v>647</v>
      </c>
      <c r="I63" s="58">
        <v>666</v>
      </c>
      <c r="J63" s="58">
        <v>684</v>
      </c>
      <c r="K63" s="58">
        <v>722</v>
      </c>
      <c r="L63" s="59">
        <v>759</v>
      </c>
    </row>
    <row r="64" spans="1:12" ht="18.5" thickBot="1" x14ac:dyDescent="0.6">
      <c r="A64" s="277"/>
      <c r="B64" s="97" t="s">
        <v>183</v>
      </c>
      <c r="C64" s="98">
        <v>56</v>
      </c>
      <c r="D64" s="61">
        <v>54</v>
      </c>
      <c r="E64" s="61">
        <v>53</v>
      </c>
      <c r="F64" s="61">
        <v>51</v>
      </c>
      <c r="G64" s="61">
        <v>47</v>
      </c>
      <c r="H64" s="61">
        <v>46</v>
      </c>
      <c r="I64" s="61">
        <v>45</v>
      </c>
      <c r="J64" s="61">
        <v>44</v>
      </c>
      <c r="K64" s="61">
        <v>43</v>
      </c>
      <c r="L64" s="62">
        <v>42</v>
      </c>
    </row>
    <row r="65" spans="1:12" x14ac:dyDescent="0.55000000000000004">
      <c r="A65" s="278" t="s">
        <v>190</v>
      </c>
      <c r="B65" s="99" t="s">
        <v>179</v>
      </c>
      <c r="C65" s="60">
        <v>0.91</v>
      </c>
      <c r="D65" s="57">
        <v>0.92</v>
      </c>
      <c r="E65" s="57">
        <v>1.1000000000000001</v>
      </c>
      <c r="F65" s="57">
        <v>1.19</v>
      </c>
      <c r="G65" s="57">
        <v>1.28</v>
      </c>
      <c r="H65" s="57">
        <v>1.63</v>
      </c>
      <c r="I65" s="57">
        <v>1.72</v>
      </c>
      <c r="J65" s="57">
        <v>1.81</v>
      </c>
      <c r="K65" s="57">
        <v>1.99</v>
      </c>
      <c r="L65" s="100">
        <v>2.17</v>
      </c>
    </row>
    <row r="66" spans="1:12" x14ac:dyDescent="0.55000000000000004">
      <c r="A66" s="276"/>
      <c r="B66" s="95" t="s">
        <v>180</v>
      </c>
      <c r="C66" s="96">
        <v>172</v>
      </c>
      <c r="D66" s="58">
        <v>173</v>
      </c>
      <c r="E66" s="58">
        <v>183</v>
      </c>
      <c r="F66" s="58">
        <v>188</v>
      </c>
      <c r="G66" s="58">
        <v>193</v>
      </c>
      <c r="H66" s="58">
        <v>212</v>
      </c>
      <c r="I66" s="58">
        <v>217</v>
      </c>
      <c r="J66" s="58">
        <v>222</v>
      </c>
      <c r="K66" s="58">
        <v>232</v>
      </c>
      <c r="L66" s="59">
        <v>242</v>
      </c>
    </row>
    <row r="67" spans="1:12" x14ac:dyDescent="0.55000000000000004">
      <c r="A67" s="276"/>
      <c r="B67" s="95" t="s">
        <v>181</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6"/>
      <c r="B68" s="95" t="s">
        <v>182</v>
      </c>
      <c r="C68" s="96">
        <v>25.6</v>
      </c>
      <c r="D68" s="58">
        <v>25.7</v>
      </c>
      <c r="E68" s="58">
        <v>28.2</v>
      </c>
      <c r="F68" s="58">
        <v>29.4</v>
      </c>
      <c r="G68" s="58">
        <v>30.7</v>
      </c>
      <c r="H68" s="58">
        <v>35.6</v>
      </c>
      <c r="I68" s="58">
        <v>36.799999999999997</v>
      </c>
      <c r="J68" s="58">
        <v>38.1</v>
      </c>
      <c r="K68" s="58">
        <v>40.6</v>
      </c>
      <c r="L68" s="59">
        <v>43.1</v>
      </c>
    </row>
    <row r="69" spans="1:12" x14ac:dyDescent="0.55000000000000004">
      <c r="A69" s="276"/>
      <c r="B69" s="95" t="s">
        <v>52</v>
      </c>
      <c r="C69" s="96">
        <v>47</v>
      </c>
      <c r="D69" s="58">
        <v>48</v>
      </c>
      <c r="E69" s="58">
        <v>51</v>
      </c>
      <c r="F69" s="58">
        <v>53</v>
      </c>
      <c r="G69" s="58">
        <v>55</v>
      </c>
      <c r="H69" s="58">
        <v>61</v>
      </c>
      <c r="I69" s="58">
        <v>63</v>
      </c>
      <c r="J69" s="58">
        <v>64</v>
      </c>
      <c r="K69" s="58">
        <v>68</v>
      </c>
      <c r="L69" s="59">
        <v>71</v>
      </c>
    </row>
    <row r="70" spans="1:12" x14ac:dyDescent="0.55000000000000004">
      <c r="A70" s="276"/>
      <c r="B70" s="95" t="s">
        <v>135</v>
      </c>
      <c r="C70" s="96">
        <v>21.3</v>
      </c>
      <c r="D70" s="58">
        <v>21.4</v>
      </c>
      <c r="E70" s="58">
        <v>22.7</v>
      </c>
      <c r="F70" s="58">
        <v>23.3</v>
      </c>
      <c r="G70" s="58">
        <v>23.9</v>
      </c>
      <c r="H70" s="58">
        <v>26.3</v>
      </c>
      <c r="I70" s="58">
        <v>27</v>
      </c>
      <c r="J70" s="58">
        <v>27.6</v>
      </c>
      <c r="K70" s="58">
        <v>28.8</v>
      </c>
      <c r="L70" s="59">
        <v>30.1</v>
      </c>
    </row>
    <row r="71" spans="1:12" x14ac:dyDescent="0.55000000000000004">
      <c r="A71" s="276"/>
      <c r="B71" s="95" t="s">
        <v>136</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517</v>
      </c>
      <c r="D72" s="58">
        <v>518</v>
      </c>
      <c r="E72" s="58">
        <v>555</v>
      </c>
      <c r="F72" s="58">
        <v>574</v>
      </c>
      <c r="G72" s="58">
        <v>593</v>
      </c>
      <c r="H72" s="58">
        <v>667</v>
      </c>
      <c r="I72" s="58">
        <v>686</v>
      </c>
      <c r="J72" s="58">
        <v>704</v>
      </c>
      <c r="K72" s="58">
        <v>742</v>
      </c>
      <c r="L72" s="59">
        <v>779</v>
      </c>
    </row>
    <row r="73" spans="1:12" ht="18.5" thickBot="1" x14ac:dyDescent="0.6">
      <c r="A73" s="279"/>
      <c r="B73" s="101" t="s">
        <v>183</v>
      </c>
      <c r="C73" s="102">
        <v>55</v>
      </c>
      <c r="D73" s="103">
        <v>53</v>
      </c>
      <c r="E73" s="103">
        <v>52</v>
      </c>
      <c r="F73" s="103">
        <v>50</v>
      </c>
      <c r="G73" s="103">
        <v>46</v>
      </c>
      <c r="H73" s="103">
        <v>45</v>
      </c>
      <c r="I73" s="103">
        <v>44</v>
      </c>
      <c r="J73" s="103">
        <v>43</v>
      </c>
      <c r="K73" s="103">
        <v>42</v>
      </c>
      <c r="L73" s="104">
        <v>41</v>
      </c>
    </row>
    <row r="74" spans="1:12" x14ac:dyDescent="0.55000000000000004">
      <c r="A74" s="275" t="s">
        <v>191</v>
      </c>
      <c r="B74" s="94" t="s">
        <v>179</v>
      </c>
      <c r="C74" s="53">
        <v>1</v>
      </c>
      <c r="D74" s="55">
        <v>1.01</v>
      </c>
      <c r="E74" s="55">
        <v>1.19</v>
      </c>
      <c r="F74" s="55">
        <v>1.28</v>
      </c>
      <c r="G74" s="55">
        <v>1.37</v>
      </c>
      <c r="H74" s="55">
        <v>1.72</v>
      </c>
      <c r="I74" s="55">
        <v>1.81</v>
      </c>
      <c r="J74" s="55">
        <v>1.9</v>
      </c>
      <c r="K74" s="55">
        <v>2.08</v>
      </c>
      <c r="L74" s="54">
        <v>2.2599999999999998</v>
      </c>
    </row>
    <row r="75" spans="1:12" x14ac:dyDescent="0.55000000000000004">
      <c r="A75" s="276"/>
      <c r="B75" s="95" t="s">
        <v>180</v>
      </c>
      <c r="C75" s="96">
        <v>183</v>
      </c>
      <c r="D75" s="58">
        <v>184</v>
      </c>
      <c r="E75" s="58">
        <v>194</v>
      </c>
      <c r="F75" s="58">
        <v>199</v>
      </c>
      <c r="G75" s="58">
        <v>204</v>
      </c>
      <c r="H75" s="58">
        <v>223</v>
      </c>
      <c r="I75" s="58">
        <v>228</v>
      </c>
      <c r="J75" s="58">
        <v>233</v>
      </c>
      <c r="K75" s="58">
        <v>243</v>
      </c>
      <c r="L75" s="59">
        <v>253</v>
      </c>
    </row>
    <row r="76" spans="1:12" x14ac:dyDescent="0.55000000000000004">
      <c r="A76" s="276"/>
      <c r="B76" s="95" t="s">
        <v>181</v>
      </c>
      <c r="C76" s="96">
        <v>24.5</v>
      </c>
      <c r="D76" s="58">
        <v>24.6</v>
      </c>
      <c r="E76" s="58">
        <v>27</v>
      </c>
      <c r="F76" s="58">
        <v>28.2</v>
      </c>
      <c r="G76" s="58">
        <v>29.4</v>
      </c>
      <c r="H76" s="58">
        <v>34.1</v>
      </c>
      <c r="I76" s="58">
        <v>35.299999999999997</v>
      </c>
      <c r="J76" s="58">
        <v>36.5</v>
      </c>
      <c r="K76" s="58">
        <v>38.9</v>
      </c>
      <c r="L76" s="59">
        <v>41.3</v>
      </c>
    </row>
    <row r="77" spans="1:12" x14ac:dyDescent="0.55000000000000004">
      <c r="A77" s="276"/>
      <c r="B77" s="95" t="s">
        <v>182</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6"/>
      <c r="B78" s="95" t="s">
        <v>52</v>
      </c>
      <c r="C78" s="96">
        <v>48</v>
      </c>
      <c r="D78" s="58">
        <v>49</v>
      </c>
      <c r="E78" s="58">
        <v>52</v>
      </c>
      <c r="F78" s="58">
        <v>54</v>
      </c>
      <c r="G78" s="58">
        <v>56</v>
      </c>
      <c r="H78" s="58">
        <v>62</v>
      </c>
      <c r="I78" s="58">
        <v>64</v>
      </c>
      <c r="J78" s="58">
        <v>65</v>
      </c>
      <c r="K78" s="58">
        <v>69</v>
      </c>
      <c r="L78" s="59">
        <v>72</v>
      </c>
    </row>
    <row r="79" spans="1:12" x14ac:dyDescent="0.55000000000000004">
      <c r="A79" s="276"/>
      <c r="B79" s="95" t="s">
        <v>135</v>
      </c>
      <c r="C79" s="96">
        <v>22.2</v>
      </c>
      <c r="D79" s="58">
        <v>22.3</v>
      </c>
      <c r="E79" s="58">
        <v>23.5</v>
      </c>
      <c r="F79" s="58">
        <v>24.2</v>
      </c>
      <c r="G79" s="58">
        <v>24.8</v>
      </c>
      <c r="H79" s="58">
        <v>27.2</v>
      </c>
      <c r="I79" s="58">
        <v>27.8</v>
      </c>
      <c r="J79" s="58">
        <v>28.4</v>
      </c>
      <c r="K79" s="58">
        <v>29.7</v>
      </c>
      <c r="L79" s="59">
        <v>30.9</v>
      </c>
    </row>
    <row r="80" spans="1:12" x14ac:dyDescent="0.55000000000000004">
      <c r="A80" s="276"/>
      <c r="B80" s="95" t="s">
        <v>136</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535</v>
      </c>
      <c r="D81" s="58">
        <v>536</v>
      </c>
      <c r="E81" s="58">
        <v>574</v>
      </c>
      <c r="F81" s="58">
        <v>593</v>
      </c>
      <c r="G81" s="58">
        <v>611</v>
      </c>
      <c r="H81" s="58">
        <v>685</v>
      </c>
      <c r="I81" s="58">
        <v>704</v>
      </c>
      <c r="J81" s="58">
        <v>723</v>
      </c>
      <c r="K81" s="58">
        <v>760</v>
      </c>
      <c r="L81" s="59">
        <v>798</v>
      </c>
    </row>
    <row r="82" spans="1:12" ht="18.5" thickBot="1" x14ac:dyDescent="0.6">
      <c r="A82" s="277"/>
      <c r="B82" s="97" t="s">
        <v>183</v>
      </c>
      <c r="C82" s="98">
        <v>54</v>
      </c>
      <c r="D82" s="61">
        <v>52</v>
      </c>
      <c r="E82" s="61">
        <v>51</v>
      </c>
      <c r="F82" s="61">
        <v>49</v>
      </c>
      <c r="G82" s="61">
        <v>45</v>
      </c>
      <c r="H82" s="61">
        <v>44</v>
      </c>
      <c r="I82" s="61">
        <v>43</v>
      </c>
      <c r="J82" s="61">
        <v>42</v>
      </c>
      <c r="K82" s="61">
        <v>41</v>
      </c>
      <c r="L82" s="62">
        <v>40</v>
      </c>
    </row>
    <row r="83" spans="1:12" x14ac:dyDescent="0.55000000000000004">
      <c r="A83" s="278" t="s">
        <v>192</v>
      </c>
      <c r="B83" s="99" t="s">
        <v>179</v>
      </c>
      <c r="C83" s="60">
        <v>1.07</v>
      </c>
      <c r="D83" s="57">
        <v>1.08</v>
      </c>
      <c r="E83" s="57">
        <v>1.26</v>
      </c>
      <c r="F83" s="57">
        <v>1.35</v>
      </c>
      <c r="G83" s="57">
        <v>1.44</v>
      </c>
      <c r="H83" s="57">
        <v>1.79</v>
      </c>
      <c r="I83" s="57">
        <v>1.88</v>
      </c>
      <c r="J83" s="57">
        <v>1.97</v>
      </c>
      <c r="K83" s="57">
        <v>2.15</v>
      </c>
      <c r="L83" s="100">
        <v>2.33</v>
      </c>
    </row>
    <row r="84" spans="1:12" x14ac:dyDescent="0.55000000000000004">
      <c r="A84" s="276"/>
      <c r="B84" s="95" t="s">
        <v>180</v>
      </c>
      <c r="C84" s="96">
        <v>193</v>
      </c>
      <c r="D84" s="58">
        <v>194</v>
      </c>
      <c r="E84" s="58">
        <v>204</v>
      </c>
      <c r="F84" s="58">
        <v>209</v>
      </c>
      <c r="G84" s="58">
        <v>214</v>
      </c>
      <c r="H84" s="58">
        <v>233</v>
      </c>
      <c r="I84" s="58">
        <v>238</v>
      </c>
      <c r="J84" s="58">
        <v>243</v>
      </c>
      <c r="K84" s="58">
        <v>253</v>
      </c>
      <c r="L84" s="59">
        <v>263</v>
      </c>
    </row>
    <row r="85" spans="1:12" x14ac:dyDescent="0.55000000000000004">
      <c r="A85" s="276"/>
      <c r="B85" s="95" t="s">
        <v>181</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6"/>
      <c r="B86" s="95" t="s">
        <v>182</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6"/>
      <c r="B87" s="95" t="s">
        <v>52</v>
      </c>
      <c r="C87" s="96">
        <v>49</v>
      </c>
      <c r="D87" s="58">
        <v>50</v>
      </c>
      <c r="E87" s="58">
        <v>53</v>
      </c>
      <c r="F87" s="58">
        <v>55</v>
      </c>
      <c r="G87" s="58">
        <v>57</v>
      </c>
      <c r="H87" s="58">
        <v>63</v>
      </c>
      <c r="I87" s="58">
        <v>64</v>
      </c>
      <c r="J87" s="58">
        <v>66</v>
      </c>
      <c r="K87" s="58">
        <v>70</v>
      </c>
      <c r="L87" s="59">
        <v>73</v>
      </c>
    </row>
    <row r="88" spans="1:12" x14ac:dyDescent="0.55000000000000004">
      <c r="A88" s="276"/>
      <c r="B88" s="95" t="s">
        <v>135</v>
      </c>
      <c r="C88" s="96">
        <v>22.9</v>
      </c>
      <c r="D88" s="58">
        <v>23</v>
      </c>
      <c r="E88" s="58">
        <v>24.3</v>
      </c>
      <c r="F88" s="58">
        <v>24.9</v>
      </c>
      <c r="G88" s="58">
        <v>25.5</v>
      </c>
      <c r="H88" s="58">
        <v>27.9</v>
      </c>
      <c r="I88" s="58">
        <v>28.5</v>
      </c>
      <c r="J88" s="58">
        <v>29.2</v>
      </c>
      <c r="K88" s="58">
        <v>30.4</v>
      </c>
      <c r="L88" s="59">
        <v>31.7</v>
      </c>
    </row>
    <row r="89" spans="1:12" x14ac:dyDescent="0.55000000000000004">
      <c r="A89" s="276"/>
      <c r="B89" s="95" t="s">
        <v>136</v>
      </c>
      <c r="C89" s="96">
        <v>0.84</v>
      </c>
      <c r="D89" s="58">
        <v>0.85</v>
      </c>
      <c r="E89" s="58">
        <v>0.87</v>
      </c>
      <c r="F89" s="58">
        <v>0.88</v>
      </c>
      <c r="G89" s="58">
        <v>0.89</v>
      </c>
      <c r="H89" s="58">
        <v>0.92</v>
      </c>
      <c r="I89" s="58">
        <v>0.93</v>
      </c>
      <c r="J89" s="58">
        <v>0.94</v>
      </c>
      <c r="K89" s="58">
        <v>0.96</v>
      </c>
      <c r="L89" s="59">
        <v>0.98</v>
      </c>
    </row>
    <row r="90" spans="1:12" x14ac:dyDescent="0.55000000000000004">
      <c r="A90" s="276"/>
      <c r="B90" s="95" t="s">
        <v>33</v>
      </c>
      <c r="C90" s="96">
        <v>552</v>
      </c>
      <c r="D90" s="58">
        <v>553</v>
      </c>
      <c r="E90" s="58">
        <v>591</v>
      </c>
      <c r="F90" s="58">
        <v>609</v>
      </c>
      <c r="G90" s="58">
        <v>628</v>
      </c>
      <c r="H90" s="58">
        <v>702</v>
      </c>
      <c r="I90" s="58">
        <v>721</v>
      </c>
      <c r="J90" s="58">
        <v>740</v>
      </c>
      <c r="K90" s="58">
        <v>777</v>
      </c>
      <c r="L90" s="59">
        <v>815</v>
      </c>
    </row>
    <row r="91" spans="1:12" ht="18.5" thickBot="1" x14ac:dyDescent="0.6">
      <c r="A91" s="277"/>
      <c r="B91" s="97" t="s">
        <v>183</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123</v>
      </c>
      <c r="B1" s="90" t="s">
        <v>148</v>
      </c>
      <c r="C1" s="91">
        <v>1</v>
      </c>
      <c r="D1" s="92">
        <v>2</v>
      </c>
      <c r="E1" s="92">
        <v>3</v>
      </c>
      <c r="F1" s="92">
        <v>4</v>
      </c>
      <c r="G1" s="92">
        <v>5</v>
      </c>
      <c r="H1" s="92">
        <v>6</v>
      </c>
      <c r="I1" s="92">
        <v>7</v>
      </c>
      <c r="J1" s="92">
        <v>8</v>
      </c>
      <c r="K1" s="92">
        <v>9</v>
      </c>
      <c r="L1" s="93">
        <v>10</v>
      </c>
    </row>
    <row r="2" spans="1:12" x14ac:dyDescent="0.55000000000000004">
      <c r="A2" s="275" t="s">
        <v>178</v>
      </c>
      <c r="B2" s="94" t="s">
        <v>179</v>
      </c>
      <c r="C2" s="53">
        <v>0.21</v>
      </c>
      <c r="D2" s="55">
        <v>0.22</v>
      </c>
      <c r="E2" s="55">
        <v>0.38</v>
      </c>
      <c r="F2" s="55">
        <v>0.47</v>
      </c>
      <c r="G2" s="55">
        <v>0.55000000000000004</v>
      </c>
      <c r="H2" s="55">
        <v>0.87</v>
      </c>
      <c r="I2" s="55">
        <v>0.95</v>
      </c>
      <c r="J2" s="55">
        <v>1.03</v>
      </c>
      <c r="K2" s="55">
        <v>1.2</v>
      </c>
      <c r="L2" s="54">
        <v>1.36</v>
      </c>
    </row>
    <row r="3" spans="1:12" x14ac:dyDescent="0.55000000000000004">
      <c r="A3" s="276"/>
      <c r="B3" s="95" t="s">
        <v>180</v>
      </c>
      <c r="C3" s="96">
        <v>87</v>
      </c>
      <c r="D3" s="58">
        <v>88</v>
      </c>
      <c r="E3" s="58">
        <v>98</v>
      </c>
      <c r="F3" s="58">
        <v>103</v>
      </c>
      <c r="G3" s="58">
        <v>107</v>
      </c>
      <c r="H3" s="58">
        <v>125</v>
      </c>
      <c r="I3" s="58">
        <v>130</v>
      </c>
      <c r="J3" s="58">
        <v>135</v>
      </c>
      <c r="K3" s="58">
        <v>144</v>
      </c>
      <c r="L3" s="59">
        <v>154</v>
      </c>
    </row>
    <row r="4" spans="1:12" x14ac:dyDescent="0.55000000000000004">
      <c r="A4" s="276"/>
      <c r="B4" s="95" t="s">
        <v>181</v>
      </c>
      <c r="C4" s="96">
        <v>10.1</v>
      </c>
      <c r="D4" s="58">
        <v>10.199999999999999</v>
      </c>
      <c r="E4" s="58">
        <v>12.3</v>
      </c>
      <c r="F4" s="58">
        <v>13.4</v>
      </c>
      <c r="G4" s="58">
        <v>14.4</v>
      </c>
      <c r="H4" s="58">
        <v>18.5</v>
      </c>
      <c r="I4" s="58">
        <v>19.600000000000001</v>
      </c>
      <c r="J4" s="58">
        <v>20.6</v>
      </c>
      <c r="K4" s="58">
        <v>22.7</v>
      </c>
      <c r="L4" s="59">
        <v>24.8</v>
      </c>
    </row>
    <row r="5" spans="1:12" x14ac:dyDescent="0.55000000000000004">
      <c r="A5" s="276"/>
      <c r="B5" s="95" t="s">
        <v>182</v>
      </c>
      <c r="C5" s="96">
        <v>9.5</v>
      </c>
      <c r="D5" s="58">
        <v>9.6</v>
      </c>
      <c r="E5" s="58">
        <v>11.8</v>
      </c>
      <c r="F5" s="58">
        <v>12.9</v>
      </c>
      <c r="G5" s="58">
        <v>14</v>
      </c>
      <c r="H5" s="58">
        <v>18.3</v>
      </c>
      <c r="I5" s="58">
        <v>19.399999999999999</v>
      </c>
      <c r="J5" s="58">
        <v>20.5</v>
      </c>
      <c r="K5" s="58">
        <v>22.7</v>
      </c>
      <c r="L5" s="59">
        <v>24.9</v>
      </c>
    </row>
    <row r="6" spans="1:12" x14ac:dyDescent="0.55000000000000004">
      <c r="A6" s="276"/>
      <c r="B6" s="95" t="s">
        <v>52</v>
      </c>
      <c r="C6" s="96">
        <v>38</v>
      </c>
      <c r="D6" s="58">
        <v>39</v>
      </c>
      <c r="E6" s="58">
        <v>42</v>
      </c>
      <c r="F6" s="58">
        <v>44</v>
      </c>
      <c r="G6" s="58">
        <v>46</v>
      </c>
      <c r="H6" s="58">
        <v>52</v>
      </c>
      <c r="I6" s="58">
        <v>53</v>
      </c>
      <c r="J6" s="58">
        <v>55</v>
      </c>
      <c r="K6" s="58">
        <v>59</v>
      </c>
      <c r="L6" s="59">
        <v>62</v>
      </c>
    </row>
    <row r="7" spans="1:12" x14ac:dyDescent="0.55000000000000004">
      <c r="A7" s="276"/>
      <c r="B7" s="95" t="s">
        <v>135</v>
      </c>
      <c r="C7" s="96">
        <v>10.199999999999999</v>
      </c>
      <c r="D7" s="58">
        <v>10.3</v>
      </c>
      <c r="E7" s="58">
        <v>11.4</v>
      </c>
      <c r="F7" s="58">
        <v>12</v>
      </c>
      <c r="G7" s="58">
        <v>12.6</v>
      </c>
      <c r="H7" s="58">
        <v>14.8</v>
      </c>
      <c r="I7" s="58">
        <v>15.3</v>
      </c>
      <c r="J7" s="58">
        <v>15.9</v>
      </c>
      <c r="K7" s="58">
        <v>17.100000000000001</v>
      </c>
      <c r="L7" s="59">
        <v>18.2</v>
      </c>
    </row>
    <row r="8" spans="1:12" x14ac:dyDescent="0.55000000000000004">
      <c r="A8" s="276"/>
      <c r="B8" s="95" t="s">
        <v>136</v>
      </c>
      <c r="C8" s="96">
        <v>0.82</v>
      </c>
      <c r="D8" s="58">
        <v>0.83</v>
      </c>
      <c r="E8" s="58">
        <v>0.85</v>
      </c>
      <c r="F8" s="58">
        <v>0.86</v>
      </c>
      <c r="G8" s="58">
        <v>0.87</v>
      </c>
      <c r="H8" s="58">
        <v>0.9</v>
      </c>
      <c r="I8" s="58">
        <v>0.91</v>
      </c>
      <c r="J8" s="58">
        <v>0.92</v>
      </c>
      <c r="K8" s="58">
        <v>0.94</v>
      </c>
      <c r="L8" s="59">
        <v>0.96</v>
      </c>
    </row>
    <row r="9" spans="1:12" x14ac:dyDescent="0.55000000000000004">
      <c r="A9" s="276"/>
      <c r="B9" s="95" t="s">
        <v>33</v>
      </c>
      <c r="C9" s="96">
        <v>335</v>
      </c>
      <c r="D9" s="58">
        <v>336</v>
      </c>
      <c r="E9" s="58">
        <v>373</v>
      </c>
      <c r="F9" s="58">
        <v>392</v>
      </c>
      <c r="G9" s="58">
        <v>410</v>
      </c>
      <c r="H9" s="58">
        <v>483</v>
      </c>
      <c r="I9" s="58">
        <v>502</v>
      </c>
      <c r="J9" s="58">
        <v>520</v>
      </c>
      <c r="K9" s="58">
        <v>557</v>
      </c>
      <c r="L9" s="59">
        <v>594</v>
      </c>
    </row>
    <row r="10" spans="1:12" ht="18.5" thickBot="1" x14ac:dyDescent="0.6">
      <c r="A10" s="277"/>
      <c r="B10" s="97" t="s">
        <v>183</v>
      </c>
      <c r="C10" s="98">
        <v>68</v>
      </c>
      <c r="D10" s="61">
        <v>66</v>
      </c>
      <c r="E10" s="61">
        <v>65</v>
      </c>
      <c r="F10" s="61">
        <v>64</v>
      </c>
      <c r="G10" s="61">
        <v>62</v>
      </c>
      <c r="H10" s="61">
        <v>59</v>
      </c>
      <c r="I10" s="61">
        <v>58</v>
      </c>
      <c r="J10" s="61">
        <v>57</v>
      </c>
      <c r="K10" s="61">
        <v>56</v>
      </c>
      <c r="L10" s="62">
        <v>55</v>
      </c>
    </row>
    <row r="11" spans="1:12" x14ac:dyDescent="0.55000000000000004">
      <c r="A11" s="275" t="s">
        <v>184</v>
      </c>
      <c r="B11" s="94" t="s">
        <v>179</v>
      </c>
      <c r="C11" s="53">
        <v>0.34</v>
      </c>
      <c r="D11" s="55">
        <v>0.35</v>
      </c>
      <c r="E11" s="55">
        <v>0.51</v>
      </c>
      <c r="F11" s="55">
        <v>0.59</v>
      </c>
      <c r="G11" s="55">
        <v>0.68</v>
      </c>
      <c r="H11" s="55">
        <v>1</v>
      </c>
      <c r="I11" s="55">
        <v>1.08</v>
      </c>
      <c r="J11" s="55">
        <v>1.1599999999999999</v>
      </c>
      <c r="K11" s="55">
        <v>1.33</v>
      </c>
      <c r="L11" s="54">
        <v>1.49</v>
      </c>
    </row>
    <row r="12" spans="1:12" x14ac:dyDescent="0.55000000000000004">
      <c r="A12" s="276"/>
      <c r="B12" s="95" t="s">
        <v>180</v>
      </c>
      <c r="C12" s="96">
        <v>101</v>
      </c>
      <c r="D12" s="58">
        <v>102</v>
      </c>
      <c r="E12" s="58">
        <v>111</v>
      </c>
      <c r="F12" s="58">
        <v>116</v>
      </c>
      <c r="G12" s="58">
        <v>121</v>
      </c>
      <c r="H12" s="58">
        <v>139</v>
      </c>
      <c r="I12" s="58">
        <v>143</v>
      </c>
      <c r="J12" s="58">
        <v>148</v>
      </c>
      <c r="K12" s="58">
        <v>158</v>
      </c>
      <c r="L12" s="59">
        <v>167</v>
      </c>
    </row>
    <row r="13" spans="1:12" x14ac:dyDescent="0.55000000000000004">
      <c r="A13" s="276"/>
      <c r="B13" s="95" t="s">
        <v>181</v>
      </c>
      <c r="C13" s="96">
        <v>11.6</v>
      </c>
      <c r="D13" s="58">
        <v>11.7</v>
      </c>
      <c r="E13" s="58">
        <v>13.8</v>
      </c>
      <c r="F13" s="58">
        <v>14.9</v>
      </c>
      <c r="G13" s="58">
        <v>15.9</v>
      </c>
      <c r="H13" s="58">
        <v>20</v>
      </c>
      <c r="I13" s="58">
        <v>21.1</v>
      </c>
      <c r="J13" s="58">
        <v>22.1</v>
      </c>
      <c r="K13" s="58">
        <v>24.2</v>
      </c>
      <c r="L13" s="59">
        <v>26.3</v>
      </c>
    </row>
    <row r="14" spans="1:12" x14ac:dyDescent="0.55000000000000004">
      <c r="A14" s="276"/>
      <c r="B14" s="95" t="s">
        <v>182</v>
      </c>
      <c r="C14" s="96">
        <v>11.8</v>
      </c>
      <c r="D14" s="58">
        <v>11.9</v>
      </c>
      <c r="E14" s="58">
        <v>14.1</v>
      </c>
      <c r="F14" s="58">
        <v>15.2</v>
      </c>
      <c r="G14" s="58">
        <v>16.3</v>
      </c>
      <c r="H14" s="58">
        <v>20.6</v>
      </c>
      <c r="I14" s="58">
        <v>21.7</v>
      </c>
      <c r="J14" s="58">
        <v>22.8</v>
      </c>
      <c r="K14" s="58">
        <v>25</v>
      </c>
      <c r="L14" s="59">
        <v>27.2</v>
      </c>
    </row>
    <row r="15" spans="1:12" x14ac:dyDescent="0.55000000000000004">
      <c r="A15" s="276"/>
      <c r="B15" s="95" t="s">
        <v>52</v>
      </c>
      <c r="C15" s="96">
        <v>39</v>
      </c>
      <c r="D15" s="58">
        <v>40</v>
      </c>
      <c r="E15" s="58">
        <v>43</v>
      </c>
      <c r="F15" s="58">
        <v>45</v>
      </c>
      <c r="G15" s="58">
        <v>47</v>
      </c>
      <c r="H15" s="58">
        <v>53</v>
      </c>
      <c r="I15" s="58">
        <v>54</v>
      </c>
      <c r="J15" s="58">
        <v>56</v>
      </c>
      <c r="K15" s="58">
        <v>60</v>
      </c>
      <c r="L15" s="59">
        <v>63</v>
      </c>
    </row>
    <row r="16" spans="1:12" x14ac:dyDescent="0.55000000000000004">
      <c r="A16" s="276"/>
      <c r="B16" s="95" t="s">
        <v>135</v>
      </c>
      <c r="C16" s="96">
        <v>12.6</v>
      </c>
      <c r="D16" s="58">
        <v>12.7</v>
      </c>
      <c r="E16" s="58">
        <v>13.8</v>
      </c>
      <c r="F16" s="58">
        <v>14.4</v>
      </c>
      <c r="G16" s="58">
        <v>15</v>
      </c>
      <c r="H16" s="58">
        <v>17.2</v>
      </c>
      <c r="I16" s="58">
        <v>17.8</v>
      </c>
      <c r="J16" s="58">
        <v>18.3</v>
      </c>
      <c r="K16" s="58">
        <v>19.5</v>
      </c>
      <c r="L16" s="59">
        <v>20.6</v>
      </c>
    </row>
    <row r="17" spans="1:12" x14ac:dyDescent="0.55000000000000004">
      <c r="A17" s="276"/>
      <c r="B17" s="95" t="s">
        <v>136</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365</v>
      </c>
      <c r="D18" s="58">
        <v>366</v>
      </c>
      <c r="E18" s="58">
        <v>403</v>
      </c>
      <c r="F18" s="58">
        <v>421</v>
      </c>
      <c r="G18" s="58">
        <v>440</v>
      </c>
      <c r="H18" s="58">
        <v>513</v>
      </c>
      <c r="I18" s="58">
        <v>531</v>
      </c>
      <c r="J18" s="58">
        <v>550</v>
      </c>
      <c r="K18" s="58">
        <v>587</v>
      </c>
      <c r="L18" s="59">
        <v>624</v>
      </c>
    </row>
    <row r="19" spans="1:12" ht="18.5" thickBot="1" x14ac:dyDescent="0.6">
      <c r="A19" s="277"/>
      <c r="B19" s="97" t="s">
        <v>183</v>
      </c>
      <c r="C19" s="98">
        <v>63</v>
      </c>
      <c r="D19" s="61">
        <v>61</v>
      </c>
      <c r="E19" s="61">
        <v>60</v>
      </c>
      <c r="F19" s="61">
        <v>59</v>
      </c>
      <c r="G19" s="61">
        <v>56</v>
      </c>
      <c r="H19" s="61">
        <v>54</v>
      </c>
      <c r="I19" s="61">
        <v>53</v>
      </c>
      <c r="J19" s="61">
        <v>52</v>
      </c>
      <c r="K19" s="61">
        <v>51</v>
      </c>
      <c r="L19" s="62">
        <v>50</v>
      </c>
    </row>
    <row r="20" spans="1:12" x14ac:dyDescent="0.55000000000000004">
      <c r="A20" s="275" t="s">
        <v>185</v>
      </c>
      <c r="B20" s="94" t="s">
        <v>179</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180</v>
      </c>
      <c r="C21" s="96">
        <v>110</v>
      </c>
      <c r="D21" s="58">
        <v>111</v>
      </c>
      <c r="E21" s="58">
        <v>121</v>
      </c>
      <c r="F21" s="58">
        <v>126</v>
      </c>
      <c r="G21" s="58">
        <v>131</v>
      </c>
      <c r="H21" s="58">
        <v>150</v>
      </c>
      <c r="I21" s="58">
        <v>155</v>
      </c>
      <c r="J21" s="58">
        <v>160</v>
      </c>
      <c r="K21" s="58">
        <v>170</v>
      </c>
      <c r="L21" s="59">
        <v>180</v>
      </c>
    </row>
    <row r="22" spans="1:12" x14ac:dyDescent="0.55000000000000004">
      <c r="A22" s="276"/>
      <c r="B22" s="95" t="s">
        <v>181</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182</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135</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136</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183</v>
      </c>
      <c r="C28" s="98">
        <v>62</v>
      </c>
      <c r="D28" s="61">
        <v>60</v>
      </c>
      <c r="E28" s="61">
        <v>59</v>
      </c>
      <c r="F28" s="61">
        <v>57</v>
      </c>
      <c r="G28" s="61">
        <v>53</v>
      </c>
      <c r="H28" s="61">
        <v>52</v>
      </c>
      <c r="I28" s="61">
        <v>51</v>
      </c>
      <c r="J28" s="61">
        <v>50</v>
      </c>
      <c r="K28" s="61">
        <v>49</v>
      </c>
      <c r="L28" s="62">
        <v>48</v>
      </c>
    </row>
    <row r="29" spans="1:12" x14ac:dyDescent="0.55000000000000004">
      <c r="A29" s="278" t="s">
        <v>186</v>
      </c>
      <c r="B29" s="99" t="s">
        <v>179</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6"/>
      <c r="B30" s="95" t="s">
        <v>180</v>
      </c>
      <c r="C30" s="96">
        <v>124</v>
      </c>
      <c r="D30" s="58">
        <v>125</v>
      </c>
      <c r="E30" s="58">
        <v>134</v>
      </c>
      <c r="F30" s="58">
        <v>139</v>
      </c>
      <c r="G30" s="58">
        <v>144</v>
      </c>
      <c r="H30" s="58">
        <v>162</v>
      </c>
      <c r="I30" s="58">
        <v>166</v>
      </c>
      <c r="J30" s="58">
        <v>171</v>
      </c>
      <c r="K30" s="58">
        <v>181</v>
      </c>
      <c r="L30" s="59">
        <v>190</v>
      </c>
    </row>
    <row r="31" spans="1:12" x14ac:dyDescent="0.55000000000000004">
      <c r="A31" s="276"/>
      <c r="B31" s="95" t="s">
        <v>181</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6"/>
      <c r="B32" s="95" t="s">
        <v>182</v>
      </c>
      <c r="C32" s="96">
        <v>15.8</v>
      </c>
      <c r="D32" s="58">
        <v>15.9</v>
      </c>
      <c r="E32" s="58">
        <v>18.100000000000001</v>
      </c>
      <c r="F32" s="58">
        <v>19.2</v>
      </c>
      <c r="G32" s="58">
        <v>20.3</v>
      </c>
      <c r="H32" s="58">
        <v>24.6</v>
      </c>
      <c r="I32" s="58">
        <v>25.7</v>
      </c>
      <c r="J32" s="58">
        <v>26.8</v>
      </c>
      <c r="K32" s="58">
        <v>29</v>
      </c>
      <c r="L32" s="59">
        <v>31.2</v>
      </c>
    </row>
    <row r="33" spans="1:12" x14ac:dyDescent="0.55000000000000004">
      <c r="A33" s="276"/>
      <c r="B33" s="95" t="s">
        <v>52</v>
      </c>
      <c r="C33" s="96">
        <v>41</v>
      </c>
      <c r="D33" s="58">
        <v>42</v>
      </c>
      <c r="E33" s="58">
        <v>45</v>
      </c>
      <c r="F33" s="58">
        <v>47</v>
      </c>
      <c r="G33" s="58">
        <v>49</v>
      </c>
      <c r="H33" s="58">
        <v>55</v>
      </c>
      <c r="I33" s="58">
        <v>56</v>
      </c>
      <c r="J33" s="58">
        <v>58</v>
      </c>
      <c r="K33" s="58">
        <v>62</v>
      </c>
      <c r="L33" s="59">
        <v>65</v>
      </c>
    </row>
    <row r="34" spans="1:12" x14ac:dyDescent="0.55000000000000004">
      <c r="A34" s="276"/>
      <c r="B34" s="95" t="s">
        <v>135</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6"/>
      <c r="B35" s="95" t="s">
        <v>136</v>
      </c>
      <c r="C35" s="96">
        <v>0.83</v>
      </c>
      <c r="D35" s="58">
        <v>0.84</v>
      </c>
      <c r="E35" s="58">
        <v>0.86</v>
      </c>
      <c r="F35" s="58">
        <v>0.87</v>
      </c>
      <c r="G35" s="58">
        <v>0.88</v>
      </c>
      <c r="H35" s="58">
        <v>0.91</v>
      </c>
      <c r="I35" s="58">
        <v>0.92</v>
      </c>
      <c r="J35" s="58">
        <v>0.93</v>
      </c>
      <c r="K35" s="58">
        <v>0.95</v>
      </c>
      <c r="L35" s="59">
        <v>0.97</v>
      </c>
    </row>
    <row r="36" spans="1:12" x14ac:dyDescent="0.55000000000000004">
      <c r="A36" s="276"/>
      <c r="B36" s="95" t="s">
        <v>33</v>
      </c>
      <c r="C36" s="96">
        <v>418</v>
      </c>
      <c r="D36" s="58">
        <v>419</v>
      </c>
      <c r="E36" s="58">
        <v>456</v>
      </c>
      <c r="F36" s="58">
        <v>475</v>
      </c>
      <c r="G36" s="58">
        <v>493</v>
      </c>
      <c r="H36" s="58">
        <v>566</v>
      </c>
      <c r="I36" s="58">
        <v>585</v>
      </c>
      <c r="J36" s="58">
        <v>603</v>
      </c>
      <c r="K36" s="58">
        <v>640</v>
      </c>
      <c r="L36" s="59">
        <v>677</v>
      </c>
    </row>
    <row r="37" spans="1:12" ht="18.5" thickBot="1" x14ac:dyDescent="0.6">
      <c r="A37" s="279"/>
      <c r="B37" s="101" t="s">
        <v>183</v>
      </c>
      <c r="C37" s="102">
        <v>56</v>
      </c>
      <c r="D37" s="103">
        <v>54</v>
      </c>
      <c r="E37" s="103">
        <v>53</v>
      </c>
      <c r="F37" s="103">
        <v>52</v>
      </c>
      <c r="G37" s="103">
        <v>49</v>
      </c>
      <c r="H37" s="103">
        <v>47</v>
      </c>
      <c r="I37" s="103">
        <v>46</v>
      </c>
      <c r="J37" s="103">
        <v>45</v>
      </c>
      <c r="K37" s="103">
        <v>44</v>
      </c>
      <c r="L37" s="104">
        <v>42</v>
      </c>
    </row>
    <row r="38" spans="1:12" x14ac:dyDescent="0.55000000000000004">
      <c r="A38" s="275" t="s">
        <v>187</v>
      </c>
      <c r="B38" s="94" t="s">
        <v>179</v>
      </c>
      <c r="C38" s="53">
        <v>0.65</v>
      </c>
      <c r="D38" s="55">
        <v>0.66</v>
      </c>
      <c r="E38" s="55">
        <v>0.83</v>
      </c>
      <c r="F38" s="55">
        <v>0.91</v>
      </c>
      <c r="G38" s="55">
        <v>0.99</v>
      </c>
      <c r="H38" s="55">
        <v>1.31</v>
      </c>
      <c r="I38" s="55">
        <v>1.39</v>
      </c>
      <c r="J38" s="55">
        <v>1.48</v>
      </c>
      <c r="K38" s="55">
        <v>1.64</v>
      </c>
      <c r="L38" s="54">
        <v>1.81</v>
      </c>
    </row>
    <row r="39" spans="1:12" x14ac:dyDescent="0.55000000000000004">
      <c r="A39" s="276"/>
      <c r="B39" s="95" t="s">
        <v>180</v>
      </c>
      <c r="C39" s="96">
        <v>133</v>
      </c>
      <c r="D39" s="58">
        <v>134</v>
      </c>
      <c r="E39" s="58">
        <v>144</v>
      </c>
      <c r="F39" s="58">
        <v>149</v>
      </c>
      <c r="G39" s="58">
        <v>153</v>
      </c>
      <c r="H39" s="58">
        <v>171</v>
      </c>
      <c r="I39" s="58">
        <v>176</v>
      </c>
      <c r="J39" s="58">
        <v>181</v>
      </c>
      <c r="K39" s="58">
        <v>190</v>
      </c>
      <c r="L39" s="59">
        <v>200</v>
      </c>
    </row>
    <row r="40" spans="1:12" x14ac:dyDescent="0.55000000000000004">
      <c r="A40" s="276"/>
      <c r="B40" s="95" t="s">
        <v>181</v>
      </c>
      <c r="C40" s="96">
        <v>15.6</v>
      </c>
      <c r="D40" s="58">
        <v>15.7</v>
      </c>
      <c r="E40" s="58">
        <v>17.8</v>
      </c>
      <c r="F40" s="58">
        <v>18.8</v>
      </c>
      <c r="G40" s="58">
        <v>19.899999999999999</v>
      </c>
      <c r="H40" s="58">
        <v>24</v>
      </c>
      <c r="I40" s="58">
        <v>25</v>
      </c>
      <c r="J40" s="58">
        <v>26.1</v>
      </c>
      <c r="K40" s="58">
        <v>28.2</v>
      </c>
      <c r="L40" s="59">
        <v>30.3</v>
      </c>
    </row>
    <row r="41" spans="1:12" x14ac:dyDescent="0.55000000000000004">
      <c r="A41" s="276"/>
      <c r="B41" s="95" t="s">
        <v>182</v>
      </c>
      <c r="C41" s="96">
        <v>17.5</v>
      </c>
      <c r="D41" s="58">
        <v>17.600000000000001</v>
      </c>
      <c r="E41" s="58">
        <v>19.8</v>
      </c>
      <c r="F41" s="58">
        <v>20.9</v>
      </c>
      <c r="G41" s="58">
        <v>22</v>
      </c>
      <c r="H41" s="58">
        <v>26.3</v>
      </c>
      <c r="I41" s="58">
        <v>27.4</v>
      </c>
      <c r="J41" s="58">
        <v>28.5</v>
      </c>
      <c r="K41" s="58">
        <v>30.7</v>
      </c>
      <c r="L41" s="59">
        <v>32.9</v>
      </c>
    </row>
    <row r="42" spans="1:12" x14ac:dyDescent="0.55000000000000004">
      <c r="A42" s="276"/>
      <c r="B42" s="95" t="s">
        <v>52</v>
      </c>
      <c r="C42" s="96">
        <v>41</v>
      </c>
      <c r="D42" s="58">
        <v>42</v>
      </c>
      <c r="E42" s="58">
        <v>46</v>
      </c>
      <c r="F42" s="58">
        <v>48</v>
      </c>
      <c r="G42" s="58">
        <v>49</v>
      </c>
      <c r="H42" s="58">
        <v>55</v>
      </c>
      <c r="I42" s="58">
        <v>57</v>
      </c>
      <c r="J42" s="58">
        <v>59</v>
      </c>
      <c r="K42" s="58">
        <v>62</v>
      </c>
      <c r="L42" s="59">
        <v>66</v>
      </c>
    </row>
    <row r="43" spans="1:12" x14ac:dyDescent="0.55000000000000004">
      <c r="A43" s="276"/>
      <c r="B43" s="95" t="s">
        <v>135</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6"/>
      <c r="B44" s="95" t="s">
        <v>136</v>
      </c>
      <c r="C44" s="96">
        <v>0.83</v>
      </c>
      <c r="D44" s="58">
        <v>0.84</v>
      </c>
      <c r="E44" s="58">
        <v>0.86</v>
      </c>
      <c r="F44" s="58">
        <v>0.87</v>
      </c>
      <c r="G44" s="58">
        <v>0.88</v>
      </c>
      <c r="H44" s="58">
        <v>0.91</v>
      </c>
      <c r="I44" s="58">
        <v>0.92</v>
      </c>
      <c r="J44" s="58">
        <v>0.93</v>
      </c>
      <c r="K44" s="58">
        <v>0.95</v>
      </c>
      <c r="L44" s="59">
        <v>0.97</v>
      </c>
    </row>
    <row r="45" spans="1:12" x14ac:dyDescent="0.55000000000000004">
      <c r="A45" s="276"/>
      <c r="B45" s="95" t="s">
        <v>33</v>
      </c>
      <c r="C45" s="96">
        <v>442</v>
      </c>
      <c r="D45" s="58">
        <v>443</v>
      </c>
      <c r="E45" s="58">
        <v>480</v>
      </c>
      <c r="F45" s="58">
        <v>499</v>
      </c>
      <c r="G45" s="58">
        <v>517</v>
      </c>
      <c r="H45" s="58">
        <v>590</v>
      </c>
      <c r="I45" s="58">
        <v>609</v>
      </c>
      <c r="J45" s="58">
        <v>627</v>
      </c>
      <c r="K45" s="58">
        <v>664</v>
      </c>
      <c r="L45" s="59">
        <v>701</v>
      </c>
    </row>
    <row r="46" spans="1:12" ht="18.5" thickBot="1" x14ac:dyDescent="0.6">
      <c r="A46" s="277"/>
      <c r="B46" s="101" t="s">
        <v>183</v>
      </c>
      <c r="C46" s="98">
        <v>54</v>
      </c>
      <c r="D46" s="61">
        <v>52</v>
      </c>
      <c r="E46" s="61">
        <v>50</v>
      </c>
      <c r="F46" s="61">
        <v>49</v>
      </c>
      <c r="G46" s="61">
        <v>47</v>
      </c>
      <c r="H46" s="61">
        <v>45</v>
      </c>
      <c r="I46" s="61">
        <v>43</v>
      </c>
      <c r="J46" s="61">
        <v>42</v>
      </c>
      <c r="K46" s="61">
        <v>41</v>
      </c>
      <c r="L46" s="62">
        <v>40</v>
      </c>
    </row>
    <row r="47" spans="1:12" x14ac:dyDescent="0.55000000000000004">
      <c r="A47" s="278" t="s">
        <v>188</v>
      </c>
      <c r="B47" s="99" t="s">
        <v>179</v>
      </c>
      <c r="C47" s="60">
        <v>0.73</v>
      </c>
      <c r="D47" s="57">
        <v>0.74</v>
      </c>
      <c r="E47" s="57">
        <v>0.91</v>
      </c>
      <c r="F47" s="57">
        <v>0.99</v>
      </c>
      <c r="G47" s="57">
        <v>1.07</v>
      </c>
      <c r="H47" s="57">
        <v>1.39</v>
      </c>
      <c r="I47" s="57">
        <v>1.48</v>
      </c>
      <c r="J47" s="57">
        <v>1.56</v>
      </c>
      <c r="K47" s="57">
        <v>1.72</v>
      </c>
      <c r="L47" s="100">
        <v>1.89</v>
      </c>
    </row>
    <row r="48" spans="1:12" x14ac:dyDescent="0.55000000000000004">
      <c r="A48" s="276"/>
      <c r="B48" s="95" t="s">
        <v>180</v>
      </c>
      <c r="C48" s="96">
        <v>142</v>
      </c>
      <c r="D48" s="58">
        <v>143</v>
      </c>
      <c r="E48" s="58">
        <v>152</v>
      </c>
      <c r="F48" s="58">
        <v>157</v>
      </c>
      <c r="G48" s="58">
        <v>162</v>
      </c>
      <c r="H48" s="58">
        <v>180</v>
      </c>
      <c r="I48" s="58">
        <v>185</v>
      </c>
      <c r="J48" s="58">
        <v>189</v>
      </c>
      <c r="K48" s="58">
        <v>199</v>
      </c>
      <c r="L48" s="59">
        <v>208</v>
      </c>
    </row>
    <row r="49" spans="1:12" x14ac:dyDescent="0.55000000000000004">
      <c r="A49" s="276"/>
      <c r="B49" s="95" t="s">
        <v>181</v>
      </c>
      <c r="C49" s="96">
        <v>16.7</v>
      </c>
      <c r="D49" s="58">
        <v>16.8</v>
      </c>
      <c r="E49" s="58">
        <v>18.899999999999999</v>
      </c>
      <c r="F49" s="58">
        <v>20</v>
      </c>
      <c r="G49" s="58">
        <v>21</v>
      </c>
      <c r="H49" s="58">
        <v>25.1</v>
      </c>
      <c r="I49" s="58">
        <v>26.2</v>
      </c>
      <c r="J49" s="58">
        <v>27.2</v>
      </c>
      <c r="K49" s="58">
        <v>29.3</v>
      </c>
      <c r="L49" s="59">
        <v>31.4</v>
      </c>
    </row>
    <row r="50" spans="1:12" x14ac:dyDescent="0.55000000000000004">
      <c r="A50" s="276"/>
      <c r="B50" s="95" t="s">
        <v>182</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6"/>
      <c r="B51" s="95" t="s">
        <v>52</v>
      </c>
      <c r="C51" s="96">
        <v>42</v>
      </c>
      <c r="D51" s="58">
        <v>43</v>
      </c>
      <c r="E51" s="58">
        <v>47</v>
      </c>
      <c r="F51" s="58">
        <v>48</v>
      </c>
      <c r="G51" s="58">
        <v>50</v>
      </c>
      <c r="H51" s="58">
        <v>56</v>
      </c>
      <c r="I51" s="58">
        <v>58</v>
      </c>
      <c r="J51" s="58">
        <v>60</v>
      </c>
      <c r="K51" s="58">
        <v>63</v>
      </c>
      <c r="L51" s="59">
        <v>67</v>
      </c>
    </row>
    <row r="52" spans="1:12" x14ac:dyDescent="0.55000000000000004">
      <c r="A52" s="276"/>
      <c r="B52" s="95" t="s">
        <v>135</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6"/>
      <c r="B53" s="95" t="s">
        <v>136</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465</v>
      </c>
      <c r="D54" s="58">
        <v>466</v>
      </c>
      <c r="E54" s="58">
        <v>503</v>
      </c>
      <c r="F54" s="58">
        <v>521</v>
      </c>
      <c r="G54" s="58">
        <v>540</v>
      </c>
      <c r="H54" s="58">
        <v>613</v>
      </c>
      <c r="I54" s="58">
        <v>631</v>
      </c>
      <c r="J54" s="58">
        <v>650</v>
      </c>
      <c r="K54" s="58">
        <v>687</v>
      </c>
      <c r="L54" s="59">
        <v>724</v>
      </c>
    </row>
    <row r="55" spans="1:12" ht="18.5" thickBot="1" x14ac:dyDescent="0.6">
      <c r="A55" s="279"/>
      <c r="B55" s="101" t="s">
        <v>183</v>
      </c>
      <c r="C55" s="102">
        <v>52</v>
      </c>
      <c r="D55" s="103">
        <v>50</v>
      </c>
      <c r="E55" s="103">
        <v>49</v>
      </c>
      <c r="F55" s="103">
        <v>48</v>
      </c>
      <c r="G55" s="103">
        <v>45</v>
      </c>
      <c r="H55" s="103">
        <v>43</v>
      </c>
      <c r="I55" s="103">
        <v>42</v>
      </c>
      <c r="J55" s="103">
        <v>41</v>
      </c>
      <c r="K55" s="103">
        <v>39</v>
      </c>
      <c r="L55" s="104">
        <v>38</v>
      </c>
    </row>
    <row r="56" spans="1:12" x14ac:dyDescent="0.55000000000000004">
      <c r="A56" s="275" t="s">
        <v>189</v>
      </c>
      <c r="B56" s="94" t="s">
        <v>179</v>
      </c>
      <c r="C56" s="53">
        <v>0.81</v>
      </c>
      <c r="D56" s="55">
        <v>0.82</v>
      </c>
      <c r="E56" s="55">
        <v>0.98</v>
      </c>
      <c r="F56" s="55">
        <v>1.06</v>
      </c>
      <c r="G56" s="55">
        <v>1.1499999999999999</v>
      </c>
      <c r="H56" s="55">
        <v>1.47</v>
      </c>
      <c r="I56" s="55">
        <v>1.55</v>
      </c>
      <c r="J56" s="55">
        <v>1.63</v>
      </c>
      <c r="K56" s="55">
        <v>1.8</v>
      </c>
      <c r="L56" s="54">
        <v>1.96</v>
      </c>
    </row>
    <row r="57" spans="1:12" x14ac:dyDescent="0.55000000000000004">
      <c r="A57" s="276"/>
      <c r="B57" s="95" t="s">
        <v>180</v>
      </c>
      <c r="C57" s="96">
        <v>150</v>
      </c>
      <c r="D57" s="58">
        <v>151</v>
      </c>
      <c r="E57" s="58">
        <v>160</v>
      </c>
      <c r="F57" s="58">
        <v>165</v>
      </c>
      <c r="G57" s="58">
        <v>170</v>
      </c>
      <c r="H57" s="58">
        <v>188</v>
      </c>
      <c r="I57" s="58">
        <v>192</v>
      </c>
      <c r="J57" s="58">
        <v>197</v>
      </c>
      <c r="K57" s="58">
        <v>207</v>
      </c>
      <c r="L57" s="59">
        <v>216</v>
      </c>
    </row>
    <row r="58" spans="1:12" x14ac:dyDescent="0.55000000000000004">
      <c r="A58" s="276"/>
      <c r="B58" s="95" t="s">
        <v>181</v>
      </c>
      <c r="C58" s="96">
        <v>17.8</v>
      </c>
      <c r="D58" s="58">
        <v>17.899999999999999</v>
      </c>
      <c r="E58" s="58">
        <v>20</v>
      </c>
      <c r="F58" s="58">
        <v>21</v>
      </c>
      <c r="G58" s="58">
        <v>22.1</v>
      </c>
      <c r="H58" s="58">
        <v>26.2</v>
      </c>
      <c r="I58" s="58">
        <v>27.2</v>
      </c>
      <c r="J58" s="58">
        <v>28.3</v>
      </c>
      <c r="K58" s="58">
        <v>30.4</v>
      </c>
      <c r="L58" s="59">
        <v>32.5</v>
      </c>
    </row>
    <row r="59" spans="1:12" x14ac:dyDescent="0.55000000000000004">
      <c r="A59" s="276"/>
      <c r="B59" s="95" t="s">
        <v>182</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6"/>
      <c r="B60" s="95" t="s">
        <v>52</v>
      </c>
      <c r="C60" s="96">
        <v>43</v>
      </c>
      <c r="D60" s="58">
        <v>44</v>
      </c>
      <c r="E60" s="58">
        <v>47</v>
      </c>
      <c r="F60" s="58">
        <v>49</v>
      </c>
      <c r="G60" s="58">
        <v>51</v>
      </c>
      <c r="H60" s="58">
        <v>57</v>
      </c>
      <c r="I60" s="58">
        <v>59</v>
      </c>
      <c r="J60" s="58">
        <v>60</v>
      </c>
      <c r="K60" s="58">
        <v>64</v>
      </c>
      <c r="L60" s="59">
        <v>67</v>
      </c>
    </row>
    <row r="61" spans="1:12" x14ac:dyDescent="0.55000000000000004">
      <c r="A61" s="276"/>
      <c r="B61" s="95" t="s">
        <v>135</v>
      </c>
      <c r="C61" s="96">
        <v>19.399999999999999</v>
      </c>
      <c r="D61" s="58">
        <v>19.5</v>
      </c>
      <c r="E61" s="58">
        <v>20.7</v>
      </c>
      <c r="F61" s="58">
        <v>21.2</v>
      </c>
      <c r="G61" s="58">
        <v>21.8</v>
      </c>
      <c r="H61" s="58">
        <v>24</v>
      </c>
      <c r="I61" s="58">
        <v>24.6</v>
      </c>
      <c r="J61" s="58">
        <v>25.2</v>
      </c>
      <c r="K61" s="58">
        <v>26.3</v>
      </c>
      <c r="L61" s="59">
        <v>27.5</v>
      </c>
    </row>
    <row r="62" spans="1:12" x14ac:dyDescent="0.55000000000000004">
      <c r="A62" s="276"/>
      <c r="B62" s="95" t="s">
        <v>136</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486</v>
      </c>
      <c r="D63" s="58">
        <v>487</v>
      </c>
      <c r="E63" s="58">
        <v>524</v>
      </c>
      <c r="F63" s="58">
        <v>542</v>
      </c>
      <c r="G63" s="58">
        <v>561</v>
      </c>
      <c r="H63" s="58">
        <v>634</v>
      </c>
      <c r="I63" s="58">
        <v>652</v>
      </c>
      <c r="J63" s="58">
        <v>671</v>
      </c>
      <c r="K63" s="58">
        <v>708</v>
      </c>
      <c r="L63" s="59">
        <v>745</v>
      </c>
    </row>
    <row r="64" spans="1:12" ht="18.5" thickBot="1" x14ac:dyDescent="0.6">
      <c r="A64" s="277"/>
      <c r="B64" s="97" t="s">
        <v>183</v>
      </c>
      <c r="C64" s="98">
        <v>51</v>
      </c>
      <c r="D64" s="61">
        <v>49</v>
      </c>
      <c r="E64" s="61">
        <v>48</v>
      </c>
      <c r="F64" s="61">
        <v>46</v>
      </c>
      <c r="G64" s="61">
        <v>44</v>
      </c>
      <c r="H64" s="61">
        <v>42</v>
      </c>
      <c r="I64" s="61">
        <v>41</v>
      </c>
      <c r="J64" s="61">
        <v>39</v>
      </c>
      <c r="K64" s="61">
        <v>38</v>
      </c>
      <c r="L64" s="62">
        <v>37</v>
      </c>
    </row>
    <row r="65" spans="1:12" x14ac:dyDescent="0.55000000000000004">
      <c r="A65" s="278" t="s">
        <v>190</v>
      </c>
      <c r="B65" s="99" t="s">
        <v>179</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6"/>
      <c r="B66" s="95" t="s">
        <v>180</v>
      </c>
      <c r="C66" s="96">
        <v>156</v>
      </c>
      <c r="D66" s="58">
        <v>157</v>
      </c>
      <c r="E66" s="58">
        <v>167</v>
      </c>
      <c r="F66" s="58">
        <v>171</v>
      </c>
      <c r="G66" s="58">
        <v>176</v>
      </c>
      <c r="H66" s="58">
        <v>194</v>
      </c>
      <c r="I66" s="58">
        <v>199</v>
      </c>
      <c r="J66" s="58">
        <v>204</v>
      </c>
      <c r="K66" s="58">
        <v>213</v>
      </c>
      <c r="L66" s="59">
        <v>223</v>
      </c>
    </row>
    <row r="67" spans="1:12" x14ac:dyDescent="0.55000000000000004">
      <c r="A67" s="276"/>
      <c r="B67" s="95" t="s">
        <v>181</v>
      </c>
      <c r="C67" s="96">
        <v>18.7</v>
      </c>
      <c r="D67" s="58">
        <v>18.8</v>
      </c>
      <c r="E67" s="58">
        <v>20.9</v>
      </c>
      <c r="F67" s="58">
        <v>22</v>
      </c>
      <c r="G67" s="58">
        <v>23</v>
      </c>
      <c r="H67" s="58">
        <v>27.1</v>
      </c>
      <c r="I67" s="58">
        <v>28.2</v>
      </c>
      <c r="J67" s="58">
        <v>29.2</v>
      </c>
      <c r="K67" s="58">
        <v>31.3</v>
      </c>
      <c r="L67" s="59">
        <v>33.4</v>
      </c>
    </row>
    <row r="68" spans="1:12" x14ac:dyDescent="0.55000000000000004">
      <c r="A68" s="276"/>
      <c r="B68" s="95" t="s">
        <v>182</v>
      </c>
      <c r="C68" s="96">
        <v>21.5</v>
      </c>
      <c r="D68" s="58">
        <v>21.6</v>
      </c>
      <c r="E68" s="58">
        <v>23.8</v>
      </c>
      <c r="F68" s="58">
        <v>24.9</v>
      </c>
      <c r="G68" s="58">
        <v>26</v>
      </c>
      <c r="H68" s="58">
        <v>30.3</v>
      </c>
      <c r="I68" s="58">
        <v>31.4</v>
      </c>
      <c r="J68" s="58">
        <v>32.5</v>
      </c>
      <c r="K68" s="58">
        <v>34.700000000000003</v>
      </c>
      <c r="L68" s="59">
        <v>36.9</v>
      </c>
    </row>
    <row r="69" spans="1:12" x14ac:dyDescent="0.55000000000000004">
      <c r="A69" s="276"/>
      <c r="B69" s="95" t="s">
        <v>52</v>
      </c>
      <c r="C69" s="96">
        <v>44</v>
      </c>
      <c r="D69" s="58">
        <v>45</v>
      </c>
      <c r="E69" s="58">
        <v>48</v>
      </c>
      <c r="F69" s="58">
        <v>50</v>
      </c>
      <c r="G69" s="58">
        <v>52</v>
      </c>
      <c r="H69" s="58">
        <v>58</v>
      </c>
      <c r="I69" s="58">
        <v>59</v>
      </c>
      <c r="J69" s="58">
        <v>61</v>
      </c>
      <c r="K69" s="58">
        <v>65</v>
      </c>
      <c r="L69" s="59">
        <v>68</v>
      </c>
    </row>
    <row r="70" spans="1:12" x14ac:dyDescent="0.55000000000000004">
      <c r="A70" s="276"/>
      <c r="B70" s="95" t="s">
        <v>135</v>
      </c>
      <c r="C70" s="96">
        <v>20</v>
      </c>
      <c r="D70" s="58">
        <v>20.100000000000001</v>
      </c>
      <c r="E70" s="58">
        <v>21.3</v>
      </c>
      <c r="F70" s="58">
        <v>21.8</v>
      </c>
      <c r="G70" s="58">
        <v>22.4</v>
      </c>
      <c r="H70" s="58">
        <v>24.6</v>
      </c>
      <c r="I70" s="58">
        <v>25.2</v>
      </c>
      <c r="J70" s="58">
        <v>25.8</v>
      </c>
      <c r="K70" s="58">
        <v>26.9</v>
      </c>
      <c r="L70" s="59">
        <v>28.1</v>
      </c>
    </row>
    <row r="71" spans="1:12" x14ac:dyDescent="0.55000000000000004">
      <c r="A71" s="276"/>
      <c r="B71" s="95" t="s">
        <v>136</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505</v>
      </c>
      <c r="D72" s="58">
        <v>506</v>
      </c>
      <c r="E72" s="58">
        <v>543</v>
      </c>
      <c r="F72" s="58">
        <v>561</v>
      </c>
      <c r="G72" s="58">
        <v>580</v>
      </c>
      <c r="H72" s="58">
        <v>653</v>
      </c>
      <c r="I72" s="58">
        <v>671</v>
      </c>
      <c r="J72" s="58">
        <v>690</v>
      </c>
      <c r="K72" s="58">
        <v>727</v>
      </c>
      <c r="L72" s="59">
        <v>764</v>
      </c>
    </row>
    <row r="73" spans="1:12" ht="18.5" thickBot="1" x14ac:dyDescent="0.6">
      <c r="A73" s="279"/>
      <c r="B73" s="97" t="s">
        <v>183</v>
      </c>
      <c r="C73" s="102">
        <v>50</v>
      </c>
      <c r="D73" s="103">
        <v>48</v>
      </c>
      <c r="E73" s="103">
        <v>47</v>
      </c>
      <c r="F73" s="103">
        <v>46</v>
      </c>
      <c r="G73" s="103">
        <v>43</v>
      </c>
      <c r="H73" s="103">
        <v>41</v>
      </c>
      <c r="I73" s="103">
        <v>40</v>
      </c>
      <c r="J73" s="103">
        <v>39</v>
      </c>
      <c r="K73" s="103">
        <v>38</v>
      </c>
      <c r="L73" s="104">
        <v>36</v>
      </c>
    </row>
    <row r="74" spans="1:12" x14ac:dyDescent="0.55000000000000004">
      <c r="A74" s="275" t="s">
        <v>191</v>
      </c>
      <c r="B74" s="94" t="s">
        <v>179</v>
      </c>
      <c r="C74" s="53">
        <v>0.93</v>
      </c>
      <c r="D74" s="55">
        <v>0.94</v>
      </c>
      <c r="E74" s="55">
        <v>1.1000000000000001</v>
      </c>
      <c r="F74" s="55">
        <v>1.18</v>
      </c>
      <c r="G74" s="55">
        <v>1.27</v>
      </c>
      <c r="H74" s="55">
        <v>1.59</v>
      </c>
      <c r="I74" s="55">
        <v>1.67</v>
      </c>
      <c r="J74" s="55">
        <v>1.75</v>
      </c>
      <c r="K74" s="55">
        <v>1.92</v>
      </c>
      <c r="L74" s="54">
        <v>2.08</v>
      </c>
    </row>
    <row r="75" spans="1:12" x14ac:dyDescent="0.55000000000000004">
      <c r="A75" s="276"/>
      <c r="B75" s="95" t="s">
        <v>180</v>
      </c>
      <c r="C75" s="96">
        <v>162</v>
      </c>
      <c r="D75" s="58">
        <v>163</v>
      </c>
      <c r="E75" s="58">
        <v>172</v>
      </c>
      <c r="F75" s="58">
        <v>177</v>
      </c>
      <c r="G75" s="58">
        <v>182</v>
      </c>
      <c r="H75" s="58">
        <v>200</v>
      </c>
      <c r="I75" s="58">
        <v>204</v>
      </c>
      <c r="J75" s="58">
        <v>209</v>
      </c>
      <c r="K75" s="58">
        <v>219</v>
      </c>
      <c r="L75" s="59">
        <v>228</v>
      </c>
    </row>
    <row r="76" spans="1:12" x14ac:dyDescent="0.55000000000000004">
      <c r="A76" s="276"/>
      <c r="B76" s="95" t="s">
        <v>181</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6"/>
      <c r="B77" s="95" t="s">
        <v>182</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6"/>
      <c r="B78" s="95" t="s">
        <v>52</v>
      </c>
      <c r="C78" s="96">
        <v>44</v>
      </c>
      <c r="D78" s="58">
        <v>45</v>
      </c>
      <c r="E78" s="58">
        <v>49</v>
      </c>
      <c r="F78" s="58">
        <v>50</v>
      </c>
      <c r="G78" s="58">
        <v>52</v>
      </c>
      <c r="H78" s="58">
        <v>58</v>
      </c>
      <c r="I78" s="58">
        <v>60</v>
      </c>
      <c r="J78" s="58">
        <v>62</v>
      </c>
      <c r="K78" s="58">
        <v>65</v>
      </c>
      <c r="L78" s="59">
        <v>69</v>
      </c>
    </row>
    <row r="79" spans="1:12" x14ac:dyDescent="0.55000000000000004">
      <c r="A79" s="276"/>
      <c r="B79" s="95" t="s">
        <v>135</v>
      </c>
      <c r="C79" s="96">
        <v>20.399999999999999</v>
      </c>
      <c r="D79" s="58">
        <v>20.5</v>
      </c>
      <c r="E79" s="58">
        <v>21.7</v>
      </c>
      <c r="F79" s="58">
        <v>22.3</v>
      </c>
      <c r="G79" s="58">
        <v>22.8</v>
      </c>
      <c r="H79" s="58">
        <v>25</v>
      </c>
      <c r="I79" s="58">
        <v>25.6</v>
      </c>
      <c r="J79" s="58">
        <v>26.2</v>
      </c>
      <c r="K79" s="58">
        <v>27.3</v>
      </c>
      <c r="L79" s="59">
        <v>28.5</v>
      </c>
    </row>
    <row r="80" spans="1:12" x14ac:dyDescent="0.55000000000000004">
      <c r="A80" s="276"/>
      <c r="B80" s="95" t="s">
        <v>136</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522</v>
      </c>
      <c r="D81" s="58">
        <v>523</v>
      </c>
      <c r="E81" s="58">
        <v>560</v>
      </c>
      <c r="F81" s="58">
        <v>579</v>
      </c>
      <c r="G81" s="58">
        <v>597</v>
      </c>
      <c r="H81" s="58">
        <v>670</v>
      </c>
      <c r="I81" s="58">
        <v>689</v>
      </c>
      <c r="J81" s="58">
        <v>707</v>
      </c>
      <c r="K81" s="58">
        <v>744</v>
      </c>
      <c r="L81" s="59">
        <v>781</v>
      </c>
    </row>
    <row r="82" spans="1:12" ht="18.5" thickBot="1" x14ac:dyDescent="0.6">
      <c r="A82" s="277"/>
      <c r="B82" s="97" t="s">
        <v>183</v>
      </c>
      <c r="C82" s="98">
        <v>50</v>
      </c>
      <c r="D82" s="61">
        <v>48</v>
      </c>
      <c r="E82" s="61">
        <v>46</v>
      </c>
      <c r="F82" s="61">
        <v>45</v>
      </c>
      <c r="G82" s="61">
        <v>43</v>
      </c>
      <c r="H82" s="61">
        <v>41</v>
      </c>
      <c r="I82" s="61">
        <v>39</v>
      </c>
      <c r="J82" s="61">
        <v>38</v>
      </c>
      <c r="K82" s="61">
        <v>37</v>
      </c>
      <c r="L82" s="62">
        <v>36</v>
      </c>
    </row>
    <row r="83" spans="1:12" x14ac:dyDescent="0.55000000000000004">
      <c r="A83" s="278" t="s">
        <v>192</v>
      </c>
      <c r="B83" s="99" t="s">
        <v>179</v>
      </c>
      <c r="C83" s="60">
        <v>0.97</v>
      </c>
      <c r="D83" s="57">
        <v>0.98</v>
      </c>
      <c r="E83" s="57">
        <v>1.1499999999999999</v>
      </c>
      <c r="F83" s="57">
        <v>1.23</v>
      </c>
      <c r="G83" s="57">
        <v>1.31</v>
      </c>
      <c r="H83" s="57">
        <v>1.63</v>
      </c>
      <c r="I83" s="57">
        <v>1.72</v>
      </c>
      <c r="J83" s="57">
        <v>1.8</v>
      </c>
      <c r="K83" s="57">
        <v>1.96</v>
      </c>
      <c r="L83" s="100">
        <v>2.13</v>
      </c>
    </row>
    <row r="84" spans="1:12" x14ac:dyDescent="0.55000000000000004">
      <c r="A84" s="276"/>
      <c r="B84" s="95" t="s">
        <v>180</v>
      </c>
      <c r="C84" s="96">
        <v>166</v>
      </c>
      <c r="D84" s="58">
        <v>167</v>
      </c>
      <c r="E84" s="58">
        <v>177</v>
      </c>
      <c r="F84" s="58">
        <v>182</v>
      </c>
      <c r="G84" s="58">
        <v>186</v>
      </c>
      <c r="H84" s="58">
        <v>204</v>
      </c>
      <c r="I84" s="58">
        <v>209</v>
      </c>
      <c r="J84" s="58">
        <v>214</v>
      </c>
      <c r="K84" s="58">
        <v>223</v>
      </c>
      <c r="L84" s="59">
        <v>233</v>
      </c>
    </row>
    <row r="85" spans="1:12" x14ac:dyDescent="0.55000000000000004">
      <c r="A85" s="276"/>
      <c r="B85" s="95" t="s">
        <v>181</v>
      </c>
      <c r="C85" s="96">
        <v>20.3</v>
      </c>
      <c r="D85" s="58">
        <v>20.399999999999999</v>
      </c>
      <c r="E85" s="58">
        <v>22.5</v>
      </c>
      <c r="F85" s="58">
        <v>23.6</v>
      </c>
      <c r="G85" s="58">
        <v>24.6</v>
      </c>
      <c r="H85" s="58">
        <v>28.7</v>
      </c>
      <c r="I85" s="58">
        <v>29.8</v>
      </c>
      <c r="J85" s="58">
        <v>30.8</v>
      </c>
      <c r="K85" s="58">
        <v>32.9</v>
      </c>
      <c r="L85" s="59">
        <v>35</v>
      </c>
    </row>
    <row r="86" spans="1:12" x14ac:dyDescent="0.55000000000000004">
      <c r="A86" s="276"/>
      <c r="B86" s="95" t="s">
        <v>182</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6"/>
      <c r="B87" s="95" t="s">
        <v>52</v>
      </c>
      <c r="C87" s="96">
        <v>45</v>
      </c>
      <c r="D87" s="58">
        <v>46</v>
      </c>
      <c r="E87" s="58">
        <v>49</v>
      </c>
      <c r="F87" s="58">
        <v>51</v>
      </c>
      <c r="G87" s="58">
        <v>53</v>
      </c>
      <c r="H87" s="58">
        <v>59</v>
      </c>
      <c r="I87" s="58">
        <v>60</v>
      </c>
      <c r="J87" s="58">
        <v>62</v>
      </c>
      <c r="K87" s="58">
        <v>66</v>
      </c>
      <c r="L87" s="59">
        <v>69</v>
      </c>
    </row>
    <row r="88" spans="1:12" x14ac:dyDescent="0.55000000000000004">
      <c r="A88" s="276"/>
      <c r="B88" s="95" t="s">
        <v>135</v>
      </c>
      <c r="C88" s="96">
        <v>20.7</v>
      </c>
      <c r="D88" s="58">
        <v>20.8</v>
      </c>
      <c r="E88" s="58">
        <v>22</v>
      </c>
      <c r="F88" s="58">
        <v>22.5</v>
      </c>
      <c r="G88" s="58">
        <v>23.1</v>
      </c>
      <c r="H88" s="58">
        <v>25.3</v>
      </c>
      <c r="I88" s="58">
        <v>25.9</v>
      </c>
      <c r="J88" s="58">
        <v>26.5</v>
      </c>
      <c r="K88" s="58">
        <v>27.6</v>
      </c>
      <c r="L88" s="59">
        <v>28.8</v>
      </c>
    </row>
    <row r="89" spans="1:12" x14ac:dyDescent="0.55000000000000004">
      <c r="A89" s="276"/>
      <c r="B89" s="95" t="s">
        <v>136</v>
      </c>
      <c r="C89" s="96">
        <v>0.85</v>
      </c>
      <c r="D89" s="58">
        <v>0.86</v>
      </c>
      <c r="E89" s="58">
        <v>0.88</v>
      </c>
      <c r="F89" s="58">
        <v>0.89</v>
      </c>
      <c r="G89" s="58">
        <v>0.9</v>
      </c>
      <c r="H89" s="58">
        <v>0.93</v>
      </c>
      <c r="I89" s="58">
        <v>0.94</v>
      </c>
      <c r="J89" s="58">
        <v>0.95</v>
      </c>
      <c r="K89" s="58">
        <v>0.97</v>
      </c>
      <c r="L89" s="59">
        <v>0.99</v>
      </c>
    </row>
    <row r="90" spans="1:12" x14ac:dyDescent="0.55000000000000004">
      <c r="A90" s="276"/>
      <c r="B90" s="95" t="s">
        <v>33</v>
      </c>
      <c r="C90" s="96">
        <v>538</v>
      </c>
      <c r="D90" s="58">
        <v>539</v>
      </c>
      <c r="E90" s="58">
        <v>576</v>
      </c>
      <c r="F90" s="58">
        <v>595</v>
      </c>
      <c r="G90" s="58">
        <v>613</v>
      </c>
      <c r="H90" s="58">
        <v>686</v>
      </c>
      <c r="I90" s="58">
        <v>705</v>
      </c>
      <c r="J90" s="58">
        <v>723</v>
      </c>
      <c r="K90" s="58">
        <v>760</v>
      </c>
      <c r="L90" s="59">
        <v>797</v>
      </c>
    </row>
    <row r="91" spans="1:12" ht="18.5" thickBot="1" x14ac:dyDescent="0.6">
      <c r="A91" s="277"/>
      <c r="B91" s="97" t="s">
        <v>183</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501</v>
      </c>
      <c r="B1">
        <v>2025</v>
      </c>
      <c r="C1">
        <v>1</v>
      </c>
    </row>
    <row r="2" spans="1:3" x14ac:dyDescent="0.55000000000000004">
      <c r="A2" s="173" t="s">
        <v>502</v>
      </c>
      <c r="B2">
        <v>2026</v>
      </c>
      <c r="C2">
        <v>2</v>
      </c>
    </row>
    <row r="3" spans="1:3" x14ac:dyDescent="0.55000000000000004">
      <c r="A3" s="173" t="s">
        <v>503</v>
      </c>
      <c r="B3">
        <v>2027</v>
      </c>
      <c r="C3">
        <v>3</v>
      </c>
    </row>
    <row r="4" spans="1:3" x14ac:dyDescent="0.55000000000000004">
      <c r="A4" s="173" t="s">
        <v>504</v>
      </c>
      <c r="C4">
        <v>4</v>
      </c>
    </row>
    <row r="5" spans="1:3" x14ac:dyDescent="0.55000000000000004">
      <c r="A5" s="173" t="s">
        <v>505</v>
      </c>
      <c r="C5">
        <v>5</v>
      </c>
    </row>
    <row r="6" spans="1:3" x14ac:dyDescent="0.55000000000000004">
      <c r="A6" s="173" t="s">
        <v>506</v>
      </c>
      <c r="C6">
        <v>6</v>
      </c>
    </row>
    <row r="7" spans="1:3" x14ac:dyDescent="0.55000000000000004">
      <c r="A7" s="173" t="s">
        <v>507</v>
      </c>
      <c r="C7">
        <v>6</v>
      </c>
    </row>
    <row r="8" spans="1:3" x14ac:dyDescent="0.55000000000000004">
      <c r="A8" s="173" t="s">
        <v>508</v>
      </c>
      <c r="C8">
        <v>7</v>
      </c>
    </row>
    <row r="9" spans="1:3" x14ac:dyDescent="0.55000000000000004">
      <c r="A9" s="173" t="s">
        <v>509</v>
      </c>
      <c r="C9">
        <v>8</v>
      </c>
    </row>
    <row r="10" spans="1:3" x14ac:dyDescent="0.55000000000000004">
      <c r="A10" s="173" t="s">
        <v>510</v>
      </c>
      <c r="C10">
        <v>9</v>
      </c>
    </row>
    <row r="11" spans="1:3" x14ac:dyDescent="0.55000000000000004">
      <c r="A11" s="173" t="s">
        <v>511</v>
      </c>
      <c r="C11">
        <v>10</v>
      </c>
    </row>
    <row r="12" spans="1:3" x14ac:dyDescent="0.55000000000000004">
      <c r="A12" s="173" t="s">
        <v>512</v>
      </c>
      <c r="C12">
        <v>11</v>
      </c>
    </row>
    <row r="13" spans="1:3" x14ac:dyDescent="0.55000000000000004">
      <c r="A13" s="173" t="s">
        <v>513</v>
      </c>
      <c r="C13">
        <v>12</v>
      </c>
    </row>
    <row r="14" spans="1:3" x14ac:dyDescent="0.55000000000000004">
      <c r="A14" s="173" t="s">
        <v>514</v>
      </c>
    </row>
    <row r="15" spans="1:3" x14ac:dyDescent="0.55000000000000004">
      <c r="A15" s="173" t="s">
        <v>515</v>
      </c>
    </row>
    <row r="16" spans="1:3" x14ac:dyDescent="0.55000000000000004">
      <c r="A16" s="173" t="s">
        <v>516</v>
      </c>
    </row>
    <row r="17" spans="1:1" x14ac:dyDescent="0.55000000000000004">
      <c r="A17" s="173" t="s">
        <v>517</v>
      </c>
    </row>
    <row r="18" spans="1:1" x14ac:dyDescent="0.55000000000000004">
      <c r="A18" s="173" t="s">
        <v>518</v>
      </c>
    </row>
    <row r="19" spans="1:1" x14ac:dyDescent="0.55000000000000004">
      <c r="A19" s="173" t="s">
        <v>519</v>
      </c>
    </row>
    <row r="20" spans="1:1" x14ac:dyDescent="0.55000000000000004">
      <c r="A20" s="173" t="s">
        <v>520</v>
      </c>
    </row>
    <row r="21" spans="1:1" x14ac:dyDescent="0.55000000000000004">
      <c r="A21" s="173" t="s">
        <v>521</v>
      </c>
    </row>
    <row r="22" spans="1:1" x14ac:dyDescent="0.55000000000000004">
      <c r="A22" s="173" t="s">
        <v>522</v>
      </c>
    </row>
    <row r="23" spans="1:1" x14ac:dyDescent="0.55000000000000004">
      <c r="A23" s="173" t="s">
        <v>523</v>
      </c>
    </row>
    <row r="24" spans="1:1" x14ac:dyDescent="0.55000000000000004">
      <c r="A24" s="173" t="s">
        <v>524</v>
      </c>
    </row>
    <row r="25" spans="1:1" x14ac:dyDescent="0.55000000000000004">
      <c r="A25" s="173" t="s">
        <v>525</v>
      </c>
    </row>
    <row r="26" spans="1:1" x14ac:dyDescent="0.55000000000000004">
      <c r="A26" s="173" t="s">
        <v>526</v>
      </c>
    </row>
    <row r="27" spans="1:1" x14ac:dyDescent="0.55000000000000004">
      <c r="A27" s="173" t="s">
        <v>527</v>
      </c>
    </row>
    <row r="28" spans="1:1" x14ac:dyDescent="0.55000000000000004">
      <c r="A28" s="173" t="s">
        <v>528</v>
      </c>
    </row>
    <row r="29" spans="1:1" x14ac:dyDescent="0.55000000000000004">
      <c r="A29" s="173" t="s">
        <v>529</v>
      </c>
    </row>
    <row r="30" spans="1:1" x14ac:dyDescent="0.55000000000000004">
      <c r="A30" s="173" t="s">
        <v>530</v>
      </c>
    </row>
    <row r="31" spans="1:1" x14ac:dyDescent="0.55000000000000004">
      <c r="A31" s="173" t="s">
        <v>531</v>
      </c>
    </row>
    <row r="32" spans="1:1" x14ac:dyDescent="0.55000000000000004">
      <c r="A32" s="173" t="s">
        <v>532</v>
      </c>
    </row>
    <row r="33" spans="1:1" x14ac:dyDescent="0.55000000000000004">
      <c r="A33" s="173" t="s">
        <v>533</v>
      </c>
    </row>
    <row r="34" spans="1:1" x14ac:dyDescent="0.55000000000000004">
      <c r="A34" s="173" t="s">
        <v>534</v>
      </c>
    </row>
    <row r="35" spans="1:1" x14ac:dyDescent="0.55000000000000004">
      <c r="A35" s="173" t="s">
        <v>535</v>
      </c>
    </row>
    <row r="36" spans="1:1" x14ac:dyDescent="0.55000000000000004">
      <c r="A36" s="173" t="s">
        <v>536</v>
      </c>
    </row>
    <row r="37" spans="1:1" x14ac:dyDescent="0.55000000000000004">
      <c r="A37" s="173" t="s">
        <v>537</v>
      </c>
    </row>
    <row r="38" spans="1:1" x14ac:dyDescent="0.55000000000000004">
      <c r="A38" s="173" t="s">
        <v>538</v>
      </c>
    </row>
    <row r="39" spans="1:1" x14ac:dyDescent="0.55000000000000004">
      <c r="A39" s="173" t="s">
        <v>539</v>
      </c>
    </row>
    <row r="40" spans="1:1" x14ac:dyDescent="0.55000000000000004">
      <c r="A40" s="173" t="s">
        <v>540</v>
      </c>
    </row>
    <row r="41" spans="1:1" x14ac:dyDescent="0.55000000000000004">
      <c r="A41" s="173" t="s">
        <v>541</v>
      </c>
    </row>
    <row r="42" spans="1:1" x14ac:dyDescent="0.55000000000000004">
      <c r="A42" s="173" t="s">
        <v>542</v>
      </c>
    </row>
    <row r="43" spans="1:1" x14ac:dyDescent="0.55000000000000004">
      <c r="A43" s="173" t="s">
        <v>543</v>
      </c>
    </row>
    <row r="44" spans="1:1" x14ac:dyDescent="0.55000000000000004">
      <c r="A44" s="173" t="s">
        <v>544</v>
      </c>
    </row>
    <row r="45" spans="1:1" x14ac:dyDescent="0.55000000000000004">
      <c r="A45" s="173" t="s">
        <v>545</v>
      </c>
    </row>
    <row r="46" spans="1:1" x14ac:dyDescent="0.55000000000000004">
      <c r="A46" s="173" t="s">
        <v>546</v>
      </c>
    </row>
    <row r="47" spans="1:1" x14ac:dyDescent="0.55000000000000004">
      <c r="A47" s="173" t="s">
        <v>547</v>
      </c>
    </row>
    <row r="48" spans="1:1" x14ac:dyDescent="0.55000000000000004">
      <c r="A48" s="173" t="s">
        <v>548</v>
      </c>
    </row>
    <row r="49" spans="1:1" x14ac:dyDescent="0.55000000000000004">
      <c r="A49" s="173" t="s">
        <v>549</v>
      </c>
    </row>
    <row r="50" spans="1:1" x14ac:dyDescent="0.55000000000000004">
      <c r="A50" s="173" t="s">
        <v>550</v>
      </c>
    </row>
    <row r="51" spans="1:1" x14ac:dyDescent="0.55000000000000004">
      <c r="A51" s="173" t="s">
        <v>551</v>
      </c>
    </row>
    <row r="52" spans="1:1" x14ac:dyDescent="0.55000000000000004">
      <c r="A52" s="173" t="s">
        <v>552</v>
      </c>
    </row>
    <row r="53" spans="1:1" x14ac:dyDescent="0.55000000000000004">
      <c r="A53" s="173" t="s">
        <v>553</v>
      </c>
    </row>
    <row r="54" spans="1:1" x14ac:dyDescent="0.55000000000000004">
      <c r="A54" s="173" t="s">
        <v>554</v>
      </c>
    </row>
    <row r="55" spans="1:1" x14ac:dyDescent="0.55000000000000004">
      <c r="A55" s="173" t="s">
        <v>555</v>
      </c>
    </row>
    <row r="56" spans="1:1" x14ac:dyDescent="0.55000000000000004">
      <c r="A56" s="173" t="s">
        <v>556</v>
      </c>
    </row>
    <row r="57" spans="1:1" x14ac:dyDescent="0.55000000000000004">
      <c r="A57" s="173" t="s">
        <v>557</v>
      </c>
    </row>
    <row r="58" spans="1:1" x14ac:dyDescent="0.55000000000000004">
      <c r="A58" s="173" t="s">
        <v>558</v>
      </c>
    </row>
    <row r="59" spans="1:1" x14ac:dyDescent="0.55000000000000004">
      <c r="A59" s="173" t="s">
        <v>559</v>
      </c>
    </row>
    <row r="60" spans="1:1" x14ac:dyDescent="0.55000000000000004">
      <c r="A60" s="173" t="s">
        <v>560</v>
      </c>
    </row>
    <row r="61" spans="1:1" x14ac:dyDescent="0.55000000000000004">
      <c r="A61" s="173" t="s">
        <v>561</v>
      </c>
    </row>
    <row r="62" spans="1:1" x14ac:dyDescent="0.55000000000000004">
      <c r="A62" s="173" t="s">
        <v>562</v>
      </c>
    </row>
    <row r="63" spans="1:1" x14ac:dyDescent="0.55000000000000004">
      <c r="A63" s="173" t="s">
        <v>563</v>
      </c>
    </row>
    <row r="64" spans="1:1" x14ac:dyDescent="0.55000000000000004">
      <c r="A64" s="173" t="s">
        <v>564</v>
      </c>
    </row>
    <row r="65" spans="1:1" x14ac:dyDescent="0.55000000000000004">
      <c r="A65" s="173" t="s">
        <v>565</v>
      </c>
    </row>
    <row r="66" spans="1:1" x14ac:dyDescent="0.55000000000000004">
      <c r="A66" s="173" t="s">
        <v>566</v>
      </c>
    </row>
    <row r="67" spans="1:1" x14ac:dyDescent="0.55000000000000004">
      <c r="A67" s="173" t="s">
        <v>567</v>
      </c>
    </row>
    <row r="68" spans="1:1" x14ac:dyDescent="0.55000000000000004">
      <c r="A68" s="173" t="s">
        <v>568</v>
      </c>
    </row>
    <row r="69" spans="1:1" x14ac:dyDescent="0.55000000000000004">
      <c r="A69" s="173" t="s">
        <v>569</v>
      </c>
    </row>
    <row r="70" spans="1:1" x14ac:dyDescent="0.55000000000000004">
      <c r="A70" s="173" t="s">
        <v>570</v>
      </c>
    </row>
    <row r="71" spans="1:1" x14ac:dyDescent="0.55000000000000004">
      <c r="A71" s="173" t="s">
        <v>571</v>
      </c>
    </row>
    <row r="72" spans="1:1" x14ac:dyDescent="0.55000000000000004">
      <c r="A72" s="173" t="s">
        <v>572</v>
      </c>
    </row>
    <row r="73" spans="1:1" x14ac:dyDescent="0.55000000000000004">
      <c r="A73" s="173" t="s">
        <v>573</v>
      </c>
    </row>
    <row r="74" spans="1:1" x14ac:dyDescent="0.55000000000000004">
      <c r="A74" s="173" t="s">
        <v>574</v>
      </c>
    </row>
    <row r="75" spans="1:1" x14ac:dyDescent="0.55000000000000004">
      <c r="A75" s="173" t="s">
        <v>575</v>
      </c>
    </row>
    <row r="76" spans="1:1" x14ac:dyDescent="0.55000000000000004">
      <c r="A76" s="173" t="s">
        <v>576</v>
      </c>
    </row>
    <row r="77" spans="1:1" x14ac:dyDescent="0.55000000000000004">
      <c r="A77" s="173" t="s">
        <v>577</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2026-02-24T07:53:41Z</cp:lastPrinted>
  <dcterms:created xsi:type="dcterms:W3CDTF">2024-03-18T06:19:11Z</dcterms:created>
  <dcterms:modified xsi:type="dcterms:W3CDTF">2026-03-31T02:23:12Z</dcterms:modified>
</cp:coreProperties>
</file>