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AntigravityAPP\toukou\"/>
    </mc:Choice>
  </mc:AlternateContent>
  <xr:revisionPtr revIDLastSave="0" documentId="13_ncr:1_{4A07D928-9D1A-4438-9471-D70A6A279C10}" xr6:coauthVersionLast="47" xr6:coauthVersionMax="47" xr10:uidLastSave="{00000000-0000-0000-0000-000000000000}"/>
  <bookViews>
    <workbookView xWindow="-28920" yWindow="-120" windowWidth="29040" windowHeight="16440" tabRatio="912" firstSheet="9" activeTab="64" xr2:uid="{00000000-000D-0000-FFFF-FFFF00000000}"/>
  </bookViews>
  <sheets>
    <sheet name="野坂友宏" sheetId="2" state="hidden" r:id="rId1"/>
    <sheet name="野坂真生" sheetId="6" state="hidden" r:id="rId2"/>
    <sheet name="野坂幸央" sheetId="7" state="hidden" r:id="rId3"/>
    <sheet name="小倉大河" sheetId="37" state="hidden" r:id="rId4"/>
    <sheet name="三ツ森寧樹" sheetId="38" state="hidden" r:id="rId5"/>
    <sheet name="成田栞那" sheetId="39" state="hidden" r:id="rId6"/>
    <sheet name="成田睦生" sheetId="40" state="hidden" r:id="rId7"/>
    <sheet name="大森玲奈" sheetId="41" state="hidden" r:id="rId8"/>
    <sheet name="川﨑遥斗" sheetId="42" state="hidden" r:id="rId9"/>
    <sheet name="山本春稀" sheetId="43" r:id="rId10"/>
    <sheet name="武田寛生" sheetId="44" r:id="rId11"/>
    <sheet name="南木琥太郎" sheetId="45" state="hidden" r:id="rId12"/>
    <sheet name="南木こころ" sheetId="46" state="hidden" r:id="rId13"/>
    <sheet name="金谷壮真" sheetId="47" state="hidden" r:id="rId14"/>
    <sheet name="塩澤蓮" sheetId="48" state="hidden" r:id="rId15"/>
    <sheet name="塩澤陸" sheetId="49" state="hidden" r:id="rId16"/>
    <sheet name="新井天翔" sheetId="50" state="hidden" r:id="rId17"/>
    <sheet name="大橋優那" sheetId="51" state="hidden" r:id="rId18"/>
    <sheet name="肥塚紗月" sheetId="52" state="hidden" r:id="rId19"/>
    <sheet name="鶴見蓮音" sheetId="53" state="hidden" r:id="rId20"/>
    <sheet name="島田龍空" sheetId="54" state="hidden" r:id="rId21"/>
    <sheet name="島田和空" sheetId="55" state="hidden" r:id="rId22"/>
    <sheet name="富田竣介" sheetId="56" r:id="rId23"/>
    <sheet name="高田和音" sheetId="57" state="hidden" r:id="rId24"/>
    <sheet name="伊藤暉基" sheetId="58" state="hidden" r:id="rId25"/>
    <sheet name="臼井遥香" sheetId="60" state="hidden" r:id="rId26"/>
    <sheet name="臼井咲葵" sheetId="61" state="hidden" r:id="rId27"/>
    <sheet name="小井沼晴義" sheetId="62" r:id="rId28"/>
    <sheet name="斎藤啓次" sheetId="63" state="hidden" r:id="rId29"/>
    <sheet name="熊倉志道" sheetId="64" state="hidden" r:id="rId30"/>
    <sheet name="堀越悠太郎" sheetId="65" state="hidden" r:id="rId31"/>
    <sheet name="堀越亮佑" sheetId="66" state="hidden" r:id="rId32"/>
    <sheet name="平子創介" sheetId="67" r:id="rId33"/>
    <sheet name="大塚直幸" sheetId="68" r:id="rId34"/>
    <sheet name="大塚真結美" sheetId="21" r:id="rId35"/>
    <sheet name="高田賢吾" sheetId="22" state="hidden" r:id="rId36"/>
    <sheet name="加藤千空" sheetId="23" state="hidden" r:id="rId37"/>
    <sheet name="加藤怜" sheetId="70" state="hidden" r:id="rId38"/>
    <sheet name="石川基" sheetId="71" state="hidden" r:id="rId39"/>
    <sheet name="須田ほたる" sheetId="24" r:id="rId40"/>
    <sheet name="大貫那緒" sheetId="25" state="hidden" r:id="rId41"/>
    <sheet name="手塚みお" sheetId="26" state="hidden" r:id="rId42"/>
    <sheet name="堀田雄聖" sheetId="27" state="hidden" r:id="rId43"/>
    <sheet name="大出隆佑" sheetId="28" state="hidden" r:id="rId44"/>
    <sheet name="大出悠貫" sheetId="29" state="hidden" r:id="rId45"/>
    <sheet name="久保田葵" sheetId="30" state="hidden" r:id="rId46"/>
    <sheet name="市村隆晟" sheetId="31" state="hidden" r:id="rId47"/>
    <sheet name="比良大輝" sheetId="32" state="hidden" r:id="rId48"/>
    <sheet name="小倉丈" sheetId="33" state="hidden" r:id="rId49"/>
    <sheet name="篠崎龍" sheetId="34" state="hidden" r:id="rId50"/>
    <sheet name="篠崎楓" sheetId="35" state="hidden" r:id="rId51"/>
    <sheet name="玉川葵" sheetId="36" r:id="rId52"/>
    <sheet name="玉川風音" sheetId="8" r:id="rId53"/>
    <sheet name="小川根ノ葉" sheetId="9" r:id="rId54"/>
    <sheet name="鈴木遼太郎" sheetId="10" state="hidden" r:id="rId55"/>
    <sheet name="佐藤友悠" sheetId="11" state="hidden" r:id="rId56"/>
    <sheet name="永井悠太郎" sheetId="13" state="hidden" r:id="rId57"/>
    <sheet name="大木ゆいか" sheetId="14" state="hidden" r:id="rId58"/>
    <sheet name="島田莉由" sheetId="15" state="hidden" r:id="rId59"/>
    <sheet name="筒井陽菜" sheetId="16" state="hidden" r:id="rId60"/>
    <sheet name="飯野簾斗" sheetId="17" r:id="rId61"/>
    <sheet name="飯野煌心" sheetId="18" r:id="rId62"/>
    <sheet name="飯野蓮凰" sheetId="19" r:id="rId63"/>
    <sheet name="和久井捺生" sheetId="78" r:id="rId64"/>
    <sheet name="データ" sheetId="1" r:id="rId65"/>
    <sheet name="Sheet1" sheetId="75" state="hidden" r:id="rId66"/>
    <sheet name="結果シート" sheetId="3" r:id="rId67"/>
    <sheet name="個人シート原本" sheetId="72" r:id="rId68"/>
    <sheet name="臼井結香" sheetId="59" state="hidden" r:id="rId69"/>
    <sheet name="出井結大" sheetId="79" state="hidden" r:id="rId70"/>
    <sheet name="清水稜生" sheetId="80" state="hidden" r:id="rId71"/>
    <sheet name="野澤奏翔" sheetId="81" state="hidden" r:id="rId72"/>
    <sheet name="野澤朋樹" sheetId="82" state="hidden" r:id="rId73"/>
    <sheet name="宮本絢菜" sheetId="83" state="hidden" r:id="rId74"/>
    <sheet name="男子" sheetId="4" state="hidden" r:id="rId75"/>
    <sheet name="女子" sheetId="5" state="hidden" r:id="rId76"/>
    <sheet name="Sheet3" sheetId="74" r:id="rId77"/>
  </sheets>
  <externalReferences>
    <externalReference r:id="rId78"/>
  </externalReferences>
  <definedNames>
    <definedName name="_xleta.INDEX" hidden="1" xlm="1">#NAME?</definedName>
    <definedName name="_xleta.RANK" hidden="1" xlm="1">#NAME?</definedName>
    <definedName name="_xlnm.Print_Area" localSheetId="66">結果シート!$A$1:$Q$56</definedName>
    <definedName name="SheetLis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A2" i="83" a="1"/>
  <c r="A2" i="83" s="1"/>
  <c r="A2" i="82" a="1"/>
  <c r="A2" i="82" s="1"/>
  <c r="A2" i="81" a="1"/>
  <c r="A2" i="81" s="1"/>
  <c r="A2" i="80" a="1"/>
  <c r="A2" i="80" s="1"/>
  <c r="A2" i="79" a="1"/>
  <c r="A2" i="79" s="1"/>
  <c r="A2" i="78" a="1"/>
  <c r="A2" i="78" s="1"/>
  <c r="B3" i="3" a="1"/>
  <c r="A48" i="3" a="1"/>
  <c r="B4" i="3" a="1"/>
  <c r="A48" i="3" l="1"/>
  <c r="B4" i="3"/>
  <c r="B3" i="3"/>
  <c r="A2" i="72" a="1"/>
  <c r="A2" i="72" s="1"/>
  <c r="A2" i="7" a="1"/>
  <c r="A2" i="7" s="1"/>
  <c r="A2" i="37" a="1"/>
  <c r="A2" i="37" s="1"/>
  <c r="A2" i="38" a="1"/>
  <c r="A2" i="38" s="1"/>
  <c r="A2" i="39" a="1"/>
  <c r="A2" i="39" s="1"/>
  <c r="A2" i="40" a="1"/>
  <c r="A2" i="40" s="1"/>
  <c r="A2" i="41" a="1"/>
  <c r="A2" i="41" s="1"/>
  <c r="A2" i="42" a="1"/>
  <c r="A2" i="42" s="1"/>
  <c r="A2" i="43" a="1"/>
  <c r="A2" i="43" s="1"/>
  <c r="A2" i="44" a="1"/>
  <c r="A2" i="44" s="1"/>
  <c r="A2" i="45" a="1"/>
  <c r="A2" i="45" s="1"/>
  <c r="A2" i="46" a="1"/>
  <c r="A2" i="46" s="1"/>
  <c r="A2" i="47" a="1"/>
  <c r="A2" i="47" s="1"/>
  <c r="A2" i="48" a="1"/>
  <c r="A2" i="48" s="1"/>
  <c r="A2" i="49" a="1"/>
  <c r="A2" i="49" s="1"/>
  <c r="A2" i="50" a="1"/>
  <c r="A2" i="50" s="1"/>
  <c r="A2" i="51" a="1"/>
  <c r="A2" i="51" s="1"/>
  <c r="A2" i="52" a="1"/>
  <c r="A2" i="52" s="1"/>
  <c r="A2" i="53" a="1"/>
  <c r="A2" i="53" s="1"/>
  <c r="A2" i="54" a="1"/>
  <c r="A2" i="54" s="1"/>
  <c r="A2" i="55" a="1"/>
  <c r="A2" i="55" s="1"/>
  <c r="A2" i="56" a="1"/>
  <c r="A2" i="56" s="1"/>
  <c r="A2" i="57" a="1"/>
  <c r="A2" i="57" s="1"/>
  <c r="A2" i="58" a="1"/>
  <c r="A2" i="58" s="1"/>
  <c r="A2" i="59" a="1"/>
  <c r="A2" i="59" s="1"/>
  <c r="A2" i="60" a="1"/>
  <c r="A2" i="60" s="1"/>
  <c r="A2" i="61" a="1"/>
  <c r="A2" i="61" s="1"/>
  <c r="A2" i="62" a="1"/>
  <c r="A2" i="62" s="1"/>
  <c r="A2" i="63" a="1"/>
  <c r="A2" i="63" s="1"/>
  <c r="A2" i="64" a="1"/>
  <c r="A2" i="64" s="1"/>
  <c r="A2" i="65" a="1"/>
  <c r="A2" i="65" s="1"/>
  <c r="A2" i="66" a="1"/>
  <c r="A2" i="66" s="1"/>
  <c r="A2" i="67" a="1"/>
  <c r="A2" i="67" s="1"/>
  <c r="A2" i="68" a="1"/>
  <c r="A2" i="68" s="1"/>
  <c r="A2" i="21" a="1"/>
  <c r="A2" i="21" s="1"/>
  <c r="A2" i="22" a="1"/>
  <c r="A2" i="22" s="1"/>
  <c r="A2" i="23" a="1"/>
  <c r="A2" i="23" s="1"/>
  <c r="A2" i="70" a="1"/>
  <c r="A2" i="70" s="1"/>
  <c r="A2" i="71" a="1"/>
  <c r="A2" i="71" s="1"/>
  <c r="A2" i="24" a="1"/>
  <c r="A2" i="24" s="1"/>
  <c r="A2" i="25" a="1"/>
  <c r="A2" i="25" s="1"/>
  <c r="A2" i="26" a="1"/>
  <c r="A2" i="26" s="1"/>
  <c r="A2" i="27" a="1"/>
  <c r="A2" i="27" s="1"/>
  <c r="A2" i="28" a="1"/>
  <c r="A2" i="28" s="1"/>
  <c r="A2" i="29" a="1"/>
  <c r="A2" i="29" s="1"/>
  <c r="A2" i="30" a="1"/>
  <c r="A2" i="30" s="1"/>
  <c r="A2" i="31" a="1"/>
  <c r="A2" i="31" s="1"/>
  <c r="A2" i="32" a="1"/>
  <c r="A2" i="32" s="1"/>
  <c r="A2" i="33" a="1"/>
  <c r="A2" i="33" s="1"/>
  <c r="A2" i="34" a="1"/>
  <c r="A2" i="34" s="1"/>
  <c r="A2" i="35" a="1"/>
  <c r="A2" i="35" s="1"/>
  <c r="A2" i="36" a="1"/>
  <c r="A2" i="36" s="1"/>
  <c r="A2" i="8" a="1"/>
  <c r="A2" i="8" s="1"/>
  <c r="A2" i="9" a="1"/>
  <c r="A2" i="9" s="1"/>
  <c r="A2" i="10" a="1"/>
  <c r="A2" i="10" s="1"/>
  <c r="A2" i="11" a="1"/>
  <c r="A2" i="11" s="1"/>
  <c r="A2" i="13" a="1"/>
  <c r="A2" i="13" s="1"/>
  <c r="A2" i="14" a="1"/>
  <c r="A2" i="14" s="1"/>
  <c r="A2" i="15" a="1"/>
  <c r="A2" i="15" s="1"/>
  <c r="A2" i="16" a="1"/>
  <c r="A2" i="16" s="1"/>
  <c r="A2" i="17" a="1"/>
  <c r="A2" i="17" s="1"/>
  <c r="A2" i="18" a="1"/>
  <c r="A2" i="18" s="1"/>
  <c r="A2" i="19" a="1"/>
  <c r="A2" i="19" s="1"/>
  <c r="A2" i="6" a="1"/>
  <c r="A2" i="6" s="1"/>
  <c r="A2" i="2" a="1"/>
  <c r="A2" i="2" s="1"/>
  <c r="R13" i="4"/>
  <c r="B11" i="3" a="1"/>
  <c r="B20" i="3" a="1"/>
  <c r="E13" i="3" a="1"/>
  <c r="B19" i="3" a="1"/>
  <c r="D11" i="3" a="1"/>
  <c r="D13" i="3" a="1"/>
  <c r="B21" i="3" a="1"/>
  <c r="B28" i="3" a="1"/>
  <c r="E14" i="3" a="1"/>
  <c r="E12" i="3" a="1"/>
  <c r="G11" i="3" a="1"/>
  <c r="D6" i="3" a="1"/>
  <c r="G13" i="3" a="1"/>
  <c r="E11" i="3" a="1"/>
  <c r="B12" i="3" a="1"/>
  <c r="G12" i="3" a="1"/>
  <c r="G14" i="3" a="1"/>
  <c r="D12" i="3" a="1"/>
  <c r="D14" i="3" a="1"/>
  <c r="B5" i="3" a="1"/>
  <c r="B11" i="3" l="1"/>
  <c r="D6" i="3"/>
  <c r="B28" i="3"/>
  <c r="B19" i="3"/>
  <c r="G11" i="3"/>
  <c r="G14" i="3"/>
  <c r="G13" i="3"/>
  <c r="G12" i="3"/>
  <c r="D14" i="3"/>
  <c r="D13" i="3"/>
  <c r="D12" i="3"/>
  <c r="D11" i="3"/>
  <c r="E11" i="3"/>
  <c r="E14" i="3"/>
  <c r="E13" i="3"/>
  <c r="E12" i="3"/>
  <c r="B12" i="3"/>
  <c r="B5" i="3"/>
  <c r="B21" i="3"/>
  <c r="B20" i="3"/>
  <c r="C28" i="3" a="1"/>
  <c r="C28" i="3" l="1"/>
  <c r="D32" i="3" a="1"/>
  <c r="B33" i="3" a="1"/>
  <c r="B41" i="3" a="1"/>
  <c r="D20" i="3" a="1"/>
  <c r="D19" i="3" a="1"/>
  <c r="B30" i="3" a="1"/>
  <c r="D21" i="3" a="1"/>
  <c r="C20" i="3" a="1"/>
  <c r="D30" i="3" a="1"/>
  <c r="B32" i="3" a="1"/>
  <c r="D31" i="3" a="1"/>
  <c r="D44" i="3" a="1"/>
  <c r="D28" i="3" a="1"/>
  <c r="B44" i="3" a="1"/>
  <c r="C19" i="3" a="1"/>
  <c r="B40" i="3" a="1"/>
  <c r="B42" i="3" a="1"/>
  <c r="D29" i="3" a="1"/>
  <c r="B31" i="3" a="1"/>
  <c r="B22" i="3" a="1"/>
  <c r="C21" i="3" a="1"/>
  <c r="B29" i="3" a="1"/>
  <c r="B34" i="3" a="1"/>
  <c r="B43" i="3" a="1"/>
  <c r="D19" i="3" l="1"/>
  <c r="C19" i="3"/>
  <c r="D20" i="3"/>
  <c r="D32" i="3"/>
  <c r="D30" i="3"/>
  <c r="C21" i="3"/>
  <c r="D31" i="3"/>
  <c r="D29" i="3"/>
  <c r="D28" i="3"/>
  <c r="D44" i="3"/>
  <c r="C20" i="3"/>
  <c r="D21" i="3"/>
  <c r="B32" i="3"/>
  <c r="B43" i="3"/>
  <c r="C43" i="3" s="1"/>
  <c r="B30" i="3"/>
  <c r="B44" i="3"/>
  <c r="B40" i="3"/>
  <c r="C40" i="3" s="1"/>
  <c r="B31" i="3"/>
  <c r="B22" i="3"/>
  <c r="B34" i="3"/>
  <c r="B29" i="3"/>
  <c r="B42" i="3"/>
  <c r="C42" i="3" s="1"/>
  <c r="B33" i="3"/>
  <c r="B41" i="3"/>
  <c r="C41" i="3" s="1"/>
  <c r="C44" i="3" a="1"/>
  <c r="C29" i="3" a="1"/>
  <c r="C32" i="3" a="1"/>
  <c r="C31" i="3" a="1"/>
  <c r="C30" i="3" a="1"/>
  <c r="C44" i="3" l="1"/>
  <c r="I45" i="3" s="1"/>
  <c r="M45" i="3" s="1"/>
  <c r="C29" i="3"/>
  <c r="C32" i="3"/>
  <c r="C31" i="3"/>
  <c r="C30" i="3"/>
  <c r="I23" i="3"/>
  <c r="M23" i="3" s="1"/>
  <c r="M5" i="3" l="1"/>
  <c r="I35" i="3"/>
  <c r="M35"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<sst xmlns="http://schemas.openxmlformats.org/spreadsheetml/2006/main" count="7161" uniqueCount="1168">
  <si>
    <t>学年</t>
  </si>
  <si>
    <t>性別</t>
  </si>
  <si>
    <t>店舗名</t>
    <rPh sb="0" eb="2">
      <t>テンポ</t>
    </rPh>
    <rPh sb="2" eb="3">
      <t>メイ</t>
    </rPh>
    <phoneticPr fontId="0"/>
  </si>
  <si>
    <t>測定日</t>
  </si>
  <si>
    <t>クラス名</t>
  </si>
  <si>
    <t>受講区分</t>
  </si>
  <si>
    <t>時限</t>
  </si>
  <si>
    <t>時間</t>
  </si>
  <si>
    <t>年齢</t>
  </si>
  <si>
    <t>会員名</t>
    <phoneticPr fontId="2"/>
  </si>
  <si>
    <t>生年月日</t>
    <phoneticPr fontId="2"/>
  </si>
  <si>
    <t>学年</t>
    <phoneticPr fontId="2"/>
  </si>
  <si>
    <t>性別</t>
    <phoneticPr fontId="2"/>
  </si>
  <si>
    <t>興味のあるスポーツ</t>
    <phoneticPr fontId="2"/>
  </si>
  <si>
    <t>速度1</t>
    <phoneticPr fontId="2"/>
  </si>
  <si>
    <t>速度2</t>
    <phoneticPr fontId="2"/>
  </si>
  <si>
    <t>速度3</t>
    <phoneticPr fontId="2"/>
  </si>
  <si>
    <t>速度4</t>
    <phoneticPr fontId="2"/>
  </si>
  <si>
    <t>心拍数1</t>
    <phoneticPr fontId="2"/>
  </si>
  <si>
    <t>心拍数2</t>
    <phoneticPr fontId="2"/>
  </si>
  <si>
    <t>心拍数3</t>
    <phoneticPr fontId="2"/>
  </si>
  <si>
    <t>心拍数4</t>
    <phoneticPr fontId="2"/>
  </si>
  <si>
    <t>m/拍速度</t>
    <phoneticPr fontId="2"/>
  </si>
  <si>
    <t>m/拍速度（80%）</t>
    <phoneticPr fontId="2"/>
  </si>
  <si>
    <t>m/拍速度（90%）</t>
    <phoneticPr fontId="2"/>
  </si>
  <si>
    <t>切片</t>
    <phoneticPr fontId="2"/>
  </si>
  <si>
    <t>傾き</t>
    <phoneticPr fontId="2"/>
  </si>
  <si>
    <t>マラソンスコア</t>
    <phoneticPr fontId="2"/>
  </si>
  <si>
    <t>最高速度</t>
    <phoneticPr fontId="2"/>
  </si>
  <si>
    <t>速度維持率</t>
    <phoneticPr fontId="2"/>
  </si>
  <si>
    <t>スプリントスコア</t>
    <phoneticPr fontId="2"/>
  </si>
  <si>
    <t>%自己ベスト</t>
    <phoneticPr fontId="2"/>
  </si>
  <si>
    <t>切り返し走</t>
    <phoneticPr fontId="2"/>
  </si>
  <si>
    <t>動体視力（ランク）</t>
    <phoneticPr fontId="2"/>
  </si>
  <si>
    <t>眼球運動（ランク）</t>
    <phoneticPr fontId="2"/>
  </si>
  <si>
    <t>周辺視（ランク）</t>
    <phoneticPr fontId="2"/>
  </si>
  <si>
    <t>瞬間視（ランク）</t>
    <phoneticPr fontId="2"/>
  </si>
  <si>
    <t>ArrowzEye合計値</t>
    <phoneticPr fontId="2"/>
  </si>
  <si>
    <t>安全生活スコア</t>
    <phoneticPr fontId="2"/>
  </si>
  <si>
    <t>眼と手の協応動作</t>
    <phoneticPr fontId="2"/>
  </si>
  <si>
    <t>身長</t>
    <phoneticPr fontId="2"/>
  </si>
  <si>
    <t>体重</t>
    <phoneticPr fontId="2"/>
  </si>
  <si>
    <t>BMI</t>
    <phoneticPr fontId="2"/>
  </si>
  <si>
    <t>垂直跳び</t>
    <phoneticPr fontId="2"/>
  </si>
  <si>
    <t>スクワットジャンプ</t>
    <phoneticPr fontId="2"/>
  </si>
  <si>
    <t>接地時間</t>
    <phoneticPr fontId="2"/>
  </si>
  <si>
    <t>跳躍高</t>
    <phoneticPr fontId="2"/>
  </si>
  <si>
    <t>RJ-index</t>
    <phoneticPr fontId="2"/>
  </si>
  <si>
    <t>立ち幅跳び</t>
    <phoneticPr fontId="2"/>
  </si>
  <si>
    <t>ステッピング</t>
    <phoneticPr fontId="2"/>
  </si>
  <si>
    <t>アローズラボ＆アローズジム 栃木</t>
    <phoneticPr fontId="2"/>
  </si>
  <si>
    <t>小5</t>
    <phoneticPr fontId="2"/>
  </si>
  <si>
    <t>男性</t>
    <phoneticPr fontId="2"/>
  </si>
  <si>
    <t/>
  </si>
  <si>
    <t>バスケットボール</t>
    <phoneticPr fontId="2"/>
  </si>
  <si>
    <t>小学生コースFT</t>
    <phoneticPr fontId="2"/>
  </si>
  <si>
    <t>フィールドテスト</t>
    <phoneticPr fontId="2"/>
  </si>
  <si>
    <t>1限</t>
    <phoneticPr fontId="2"/>
  </si>
  <si>
    <t>18:00～19:20</t>
    <phoneticPr fontId="2"/>
  </si>
  <si>
    <t>11歳</t>
    <phoneticPr fontId="2"/>
  </si>
  <si>
    <t>2限</t>
    <phoneticPr fontId="2"/>
  </si>
  <si>
    <t>小6</t>
    <phoneticPr fontId="2"/>
  </si>
  <si>
    <t>陸上短距離・跳躍</t>
    <phoneticPr fontId="2"/>
  </si>
  <si>
    <t>12歳</t>
    <phoneticPr fontId="2"/>
  </si>
  <si>
    <t>小1</t>
    <phoneticPr fontId="2"/>
  </si>
  <si>
    <t>女性</t>
    <phoneticPr fontId="2"/>
  </si>
  <si>
    <t>6歳</t>
    <phoneticPr fontId="2"/>
  </si>
  <si>
    <t>7歳</t>
    <phoneticPr fontId="2"/>
  </si>
  <si>
    <t>小4</t>
    <phoneticPr fontId="2"/>
  </si>
  <si>
    <t>9歳</t>
    <phoneticPr fontId="2"/>
  </si>
  <si>
    <t>小井沼　晴義</t>
    <phoneticPr fontId="2"/>
  </si>
  <si>
    <t>2015/02/15</t>
    <phoneticPr fontId="2"/>
  </si>
  <si>
    <t>10歳</t>
    <phoneticPr fontId="2"/>
  </si>
  <si>
    <t>野球</t>
    <phoneticPr fontId="2"/>
  </si>
  <si>
    <t>16:30～17:50</t>
    <phoneticPr fontId="2"/>
  </si>
  <si>
    <t>サッカー</t>
    <phoneticPr fontId="2"/>
  </si>
  <si>
    <t>中1</t>
    <phoneticPr fontId="2"/>
  </si>
  <si>
    <t>中学生コースFT</t>
    <phoneticPr fontId="2"/>
  </si>
  <si>
    <t>3限</t>
    <phoneticPr fontId="2"/>
  </si>
  <si>
    <t>19:30～20:50</t>
    <phoneticPr fontId="2"/>
  </si>
  <si>
    <t>13歳</t>
    <phoneticPr fontId="2"/>
  </si>
  <si>
    <t>中2</t>
    <phoneticPr fontId="2"/>
  </si>
  <si>
    <t>14歳</t>
    <phoneticPr fontId="2"/>
  </si>
  <si>
    <t>小3</t>
    <phoneticPr fontId="2"/>
  </si>
  <si>
    <t>8歳</t>
    <phoneticPr fontId="2"/>
  </si>
  <si>
    <t>バレーボール</t>
    <phoneticPr fontId="2"/>
  </si>
  <si>
    <t>H</t>
    <phoneticPr fontId="2"/>
  </si>
  <si>
    <t>F</t>
    <phoneticPr fontId="2"/>
  </si>
  <si>
    <t>G</t>
    <phoneticPr fontId="2"/>
  </si>
  <si>
    <t>I</t>
    <phoneticPr fontId="2"/>
  </si>
  <si>
    <t>J</t>
    <phoneticPr fontId="2"/>
  </si>
  <si>
    <t>K</t>
    <phoneticPr fontId="2"/>
  </si>
  <si>
    <t>L</t>
    <phoneticPr fontId="2"/>
  </si>
  <si>
    <t>M</t>
    <phoneticPr fontId="2"/>
  </si>
  <si>
    <t>N</t>
    <phoneticPr fontId="2"/>
  </si>
  <si>
    <t>O</t>
    <phoneticPr fontId="2"/>
  </si>
  <si>
    <t>P</t>
    <phoneticPr fontId="2"/>
  </si>
  <si>
    <t>Q</t>
    <phoneticPr fontId="2"/>
  </si>
  <si>
    <t>R</t>
    <phoneticPr fontId="2"/>
  </si>
  <si>
    <t>S</t>
    <phoneticPr fontId="2"/>
  </si>
  <si>
    <t>T</t>
    <phoneticPr fontId="2"/>
  </si>
  <si>
    <t>U</t>
    <phoneticPr fontId="2"/>
  </si>
  <si>
    <t>V</t>
    <phoneticPr fontId="2"/>
  </si>
  <si>
    <t>W</t>
    <phoneticPr fontId="2"/>
  </si>
  <si>
    <t>X</t>
    <phoneticPr fontId="2"/>
  </si>
  <si>
    <t>Y</t>
    <phoneticPr fontId="2"/>
  </si>
  <si>
    <t>Z</t>
    <phoneticPr fontId="2"/>
  </si>
  <si>
    <t>AA</t>
    <phoneticPr fontId="2"/>
  </si>
  <si>
    <t>AB</t>
    <phoneticPr fontId="2"/>
  </si>
  <si>
    <t>AC</t>
    <phoneticPr fontId="2"/>
  </si>
  <si>
    <t>AD</t>
    <phoneticPr fontId="2"/>
  </si>
  <si>
    <t>C</t>
    <phoneticPr fontId="2"/>
  </si>
  <si>
    <t>実数値</t>
    <rPh sb="0" eb="1">
      <t>ジツ</t>
    </rPh>
    <rPh sb="1" eb="3">
      <t>スウチ</t>
    </rPh>
    <phoneticPr fontId="2"/>
  </si>
  <si>
    <t>日付</t>
    <rPh sb="0" eb="2">
      <t>ヒヅケ</t>
    </rPh>
    <phoneticPr fontId="2"/>
  </si>
  <si>
    <t>年齢</t>
    <rPh sb="0" eb="2">
      <t>ネンレイ</t>
    </rPh>
    <phoneticPr fontId="2"/>
  </si>
  <si>
    <t>性別</t>
    <rPh sb="0" eb="2">
      <t>セイベツ</t>
    </rPh>
    <phoneticPr fontId="2"/>
  </si>
  <si>
    <t>垂直跳び</t>
    <rPh sb="0" eb="2">
      <t>スイチョク</t>
    </rPh>
    <rPh sb="2" eb="3">
      <t>ト</t>
    </rPh>
    <phoneticPr fontId="2"/>
  </si>
  <si>
    <t>接地時間</t>
    <rPh sb="0" eb="4">
      <t>セッチジカン</t>
    </rPh>
    <phoneticPr fontId="2"/>
  </si>
  <si>
    <t>跳躍高</t>
    <rPh sb="0" eb="3">
      <t>チョウヤクコウ</t>
    </rPh>
    <phoneticPr fontId="2"/>
  </si>
  <si>
    <t>立ち幅跳び</t>
    <rPh sb="0" eb="1">
      <t>タ</t>
    </rPh>
    <rPh sb="2" eb="4">
      <t>ハバト</t>
    </rPh>
    <phoneticPr fontId="2"/>
  </si>
  <si>
    <t>動体視力</t>
    <rPh sb="0" eb="4">
      <t>ドウタイシリョク</t>
    </rPh>
    <phoneticPr fontId="2"/>
  </si>
  <si>
    <t>眼球運動</t>
    <rPh sb="0" eb="4">
      <t>ガンキュウウンドウ</t>
    </rPh>
    <phoneticPr fontId="2"/>
  </si>
  <si>
    <t>周辺視</t>
    <rPh sb="0" eb="3">
      <t>シュウヘンシ</t>
    </rPh>
    <phoneticPr fontId="2"/>
  </si>
  <si>
    <t>瞬間視</t>
    <rPh sb="0" eb="3">
      <t>シュンカンシ</t>
    </rPh>
    <phoneticPr fontId="2"/>
  </si>
  <si>
    <t>身長</t>
    <rPh sb="0" eb="2">
      <t>シンチョウ</t>
    </rPh>
    <phoneticPr fontId="2"/>
  </si>
  <si>
    <t>体重</t>
    <rPh sb="0" eb="2">
      <t>タイジュウ</t>
    </rPh>
    <phoneticPr fontId="2"/>
  </si>
  <si>
    <t>最高速度</t>
    <rPh sb="0" eb="4">
      <t>サイコウソクド</t>
    </rPh>
    <phoneticPr fontId="2"/>
  </si>
  <si>
    <t>速度維持率</t>
    <rPh sb="0" eb="5">
      <t>ソクドイジリツ</t>
    </rPh>
    <phoneticPr fontId="2"/>
  </si>
  <si>
    <t>切り返し走</t>
    <rPh sb="0" eb="1">
      <t>キ</t>
    </rPh>
    <rPh sb="2" eb="3">
      <t>カエ</t>
    </rPh>
    <rPh sb="4" eb="5">
      <t>ソウ</t>
    </rPh>
    <phoneticPr fontId="2"/>
  </si>
  <si>
    <t>フィードバック欄</t>
    <rPh sb="7" eb="8">
      <t>ラン</t>
    </rPh>
    <phoneticPr fontId="2"/>
  </si>
  <si>
    <t>得点</t>
    <rPh sb="0" eb="2">
      <t>トクテン</t>
    </rPh>
    <phoneticPr fontId="2"/>
  </si>
  <si>
    <t>ー</t>
    <phoneticPr fontId="2"/>
  </si>
  <si>
    <t>男子</t>
    <rPh sb="0" eb="2">
      <t>ダンシ</t>
    </rPh>
    <phoneticPr fontId="2"/>
  </si>
  <si>
    <t>女子</t>
    <rPh sb="0" eb="2">
      <t>ジョシ</t>
    </rPh>
    <phoneticPr fontId="2"/>
  </si>
  <si>
    <t>D</t>
    <phoneticPr fontId="2"/>
  </si>
  <si>
    <t>E</t>
    <phoneticPr fontId="2"/>
  </si>
  <si>
    <t>合計得点</t>
    <rPh sb="0" eb="4">
      <t>ゴウケイトクテン</t>
    </rPh>
    <phoneticPr fontId="2"/>
  </si>
  <si>
    <t>身体組成</t>
    <rPh sb="0" eb="4">
      <t>シンタイソセイ</t>
    </rPh>
    <phoneticPr fontId="2"/>
  </si>
  <si>
    <t>持久力</t>
    <rPh sb="0" eb="3">
      <t>ジキュウリョク</t>
    </rPh>
    <phoneticPr fontId="2"/>
  </si>
  <si>
    <t>項目</t>
    <rPh sb="0" eb="2">
      <t>コウモク</t>
    </rPh>
    <phoneticPr fontId="2"/>
  </si>
  <si>
    <t>結果</t>
    <rPh sb="0" eb="2">
      <t>ケッカ</t>
    </rPh>
    <phoneticPr fontId="2"/>
  </si>
  <si>
    <t>評価</t>
    <rPh sb="0" eb="2">
      <t>ヒョウカ</t>
    </rPh>
    <phoneticPr fontId="2"/>
  </si>
  <si>
    <t>速度</t>
    <rPh sb="0" eb="2">
      <t>ソクド</t>
    </rPh>
    <phoneticPr fontId="2"/>
  </si>
  <si>
    <t>心拍数</t>
    <rPh sb="0" eb="3">
      <t>シンパクスウ</t>
    </rPh>
    <phoneticPr fontId="2"/>
  </si>
  <si>
    <t>前回</t>
    <rPh sb="0" eb="2">
      <t>ゼンカイ</t>
    </rPh>
    <phoneticPr fontId="2"/>
  </si>
  <si>
    <t>瞬発力</t>
    <rPh sb="0" eb="3">
      <t>シュンパツリョク</t>
    </rPh>
    <phoneticPr fontId="2"/>
  </si>
  <si>
    <t>短い時間で大きな力を発揮する能力の測定です。</t>
    <rPh sb="17" eb="19">
      <t>ソクテイ</t>
    </rPh>
    <phoneticPr fontId="2"/>
  </si>
  <si>
    <t>学年平均</t>
    <rPh sb="0" eb="2">
      <t>ガクネン</t>
    </rPh>
    <rPh sb="2" eb="4">
      <t>ヘイキン</t>
    </rPh>
    <phoneticPr fontId="2"/>
  </si>
  <si>
    <t>かなり低い</t>
    <rPh sb="3" eb="4">
      <t>ヒク</t>
    </rPh>
    <phoneticPr fontId="2"/>
  </si>
  <si>
    <t>低い</t>
    <rPh sb="0" eb="1">
      <t>ヒク</t>
    </rPh>
    <phoneticPr fontId="2"/>
  </si>
  <si>
    <t>平均的</t>
    <rPh sb="0" eb="3">
      <t>ヘイキンテキ</t>
    </rPh>
    <phoneticPr fontId="2"/>
  </si>
  <si>
    <t>高い</t>
    <rPh sb="0" eb="1">
      <t>タカ</t>
    </rPh>
    <phoneticPr fontId="2"/>
  </si>
  <si>
    <t>かなり高い</t>
    <rPh sb="3" eb="4">
      <t>タカ</t>
    </rPh>
    <phoneticPr fontId="2"/>
  </si>
  <si>
    <t>最高速度(km/h)</t>
    <rPh sb="0" eb="4">
      <t>サイコウソクド</t>
    </rPh>
    <phoneticPr fontId="2"/>
  </si>
  <si>
    <t>速度維持率(%)</t>
    <rPh sb="0" eb="5">
      <t>ソクドイジリツ</t>
    </rPh>
    <phoneticPr fontId="2"/>
  </si>
  <si>
    <t>切り返し走(秒)</t>
    <rPh sb="0" eb="1">
      <t>キ</t>
    </rPh>
    <rPh sb="2" eb="3">
      <t>カエ</t>
    </rPh>
    <rPh sb="4" eb="5">
      <t>ソウ</t>
    </rPh>
    <rPh sb="6" eb="7">
      <t>ビョウ</t>
    </rPh>
    <phoneticPr fontId="2"/>
  </si>
  <si>
    <t>跳躍力</t>
    <rPh sb="0" eb="3">
      <t>チョウヤクリョク</t>
    </rPh>
    <phoneticPr fontId="2"/>
  </si>
  <si>
    <t>純粋なジャンプ力や切り返しの能力の測定です。</t>
    <rPh sb="0" eb="2">
      <t>ジュンスイ</t>
    </rPh>
    <rPh sb="7" eb="8">
      <t>リョク</t>
    </rPh>
    <rPh sb="9" eb="10">
      <t>キ</t>
    </rPh>
    <rPh sb="11" eb="12">
      <t>カエ</t>
    </rPh>
    <rPh sb="14" eb="16">
      <t>ノウリョク</t>
    </rPh>
    <rPh sb="17" eb="19">
      <t>ソクテイ</t>
    </rPh>
    <phoneticPr fontId="2"/>
  </si>
  <si>
    <t>スクワットジャンプ(cm)</t>
    <phoneticPr fontId="2"/>
  </si>
  <si>
    <t>垂直跳び(cm)</t>
    <rPh sb="0" eb="3">
      <t>スイチョクト</t>
    </rPh>
    <phoneticPr fontId="2"/>
  </si>
  <si>
    <t>ステッピング(回)</t>
    <rPh sb="7" eb="8">
      <t>カイ</t>
    </rPh>
    <phoneticPr fontId="2"/>
  </si>
  <si>
    <t>立ち幅跳び(cm)</t>
    <rPh sb="0" eb="1">
      <t>タ</t>
    </rPh>
    <rPh sb="2" eb="4">
      <t>ハバト</t>
    </rPh>
    <phoneticPr fontId="2"/>
  </si>
  <si>
    <t>連続ジャンプ(Rj-Index)</t>
    <rPh sb="0" eb="2">
      <t>レンゾク</t>
    </rPh>
    <phoneticPr fontId="2"/>
  </si>
  <si>
    <t>接地時間(秒)</t>
    <rPh sb="0" eb="4">
      <t>セッチジカン</t>
    </rPh>
    <rPh sb="5" eb="6">
      <t>ビョウ</t>
    </rPh>
    <phoneticPr fontId="2"/>
  </si>
  <si>
    <t>跳躍高(cm)</t>
    <rPh sb="0" eb="3">
      <t>チョウヤクコウ</t>
    </rPh>
    <phoneticPr fontId="2"/>
  </si>
  <si>
    <t>視力</t>
    <rPh sb="0" eb="2">
      <t>シリョク</t>
    </rPh>
    <phoneticPr fontId="2"/>
  </si>
  <si>
    <t>スポーツに必要なスポーツビジョンの測定です。</t>
    <rPh sb="5" eb="7">
      <t>ヒツヨウ</t>
    </rPh>
    <rPh sb="17" eb="19">
      <t>ソクテイ</t>
    </rPh>
    <phoneticPr fontId="2"/>
  </si>
  <si>
    <t>タッチパネル(秒）</t>
    <rPh sb="7" eb="8">
      <t>ビョウ</t>
    </rPh>
    <phoneticPr fontId="2"/>
  </si>
  <si>
    <t>フィードバック</t>
    <phoneticPr fontId="2"/>
  </si>
  <si>
    <t>6歳</t>
    <rPh sb="1" eb="2">
      <t>サイ</t>
    </rPh>
    <phoneticPr fontId="2"/>
  </si>
  <si>
    <t>連続RJ</t>
    <rPh sb="0" eb="2">
      <t>レンゾク</t>
    </rPh>
    <phoneticPr fontId="2"/>
  </si>
  <si>
    <t>立幅</t>
    <rPh sb="0" eb="2">
      <t>タチハバ</t>
    </rPh>
    <phoneticPr fontId="2"/>
  </si>
  <si>
    <t>スクワット</t>
    <phoneticPr fontId="2"/>
  </si>
  <si>
    <t>垂直</t>
    <rPh sb="0" eb="2">
      <t>スイチョク</t>
    </rPh>
    <phoneticPr fontId="2"/>
  </si>
  <si>
    <t>眼と手</t>
    <rPh sb="0" eb="1">
      <t>メ</t>
    </rPh>
    <rPh sb="2" eb="3">
      <t>テ</t>
    </rPh>
    <phoneticPr fontId="2"/>
  </si>
  <si>
    <t>7歳</t>
    <rPh sb="1" eb="2">
      <t>サイ</t>
    </rPh>
    <phoneticPr fontId="2"/>
  </si>
  <si>
    <t>8歳</t>
    <rPh sb="1" eb="2">
      <t>サイ</t>
    </rPh>
    <phoneticPr fontId="2"/>
  </si>
  <si>
    <t>9歳</t>
    <rPh sb="1" eb="2">
      <t>サイ</t>
    </rPh>
    <phoneticPr fontId="2"/>
  </si>
  <si>
    <t>１０歳</t>
    <rPh sb="2" eb="3">
      <t>サイ</t>
    </rPh>
    <phoneticPr fontId="2"/>
  </si>
  <si>
    <t>11歳</t>
    <rPh sb="2" eb="3">
      <t>サイ</t>
    </rPh>
    <phoneticPr fontId="2"/>
  </si>
  <si>
    <t>12歳</t>
    <rPh sb="2" eb="3">
      <t>サイ</t>
    </rPh>
    <phoneticPr fontId="2"/>
  </si>
  <si>
    <t>13歳</t>
    <rPh sb="2" eb="3">
      <t>サイ</t>
    </rPh>
    <phoneticPr fontId="2"/>
  </si>
  <si>
    <t>14歳</t>
    <rPh sb="2" eb="3">
      <t>サイ</t>
    </rPh>
    <phoneticPr fontId="2"/>
  </si>
  <si>
    <t>15歳</t>
    <rPh sb="2" eb="3">
      <t>サイ</t>
    </rPh>
    <phoneticPr fontId="2"/>
  </si>
  <si>
    <t>動体視力(Rank)</t>
    <rPh sb="0" eb="4">
      <t>ドウタイシリョク</t>
    </rPh>
    <phoneticPr fontId="2"/>
  </si>
  <si>
    <t>眼球運動(Rank)</t>
    <rPh sb="0" eb="4">
      <t>ガンキュウウンドウ</t>
    </rPh>
    <phoneticPr fontId="2"/>
  </si>
  <si>
    <t>周辺視(Rank)</t>
    <rPh sb="0" eb="3">
      <t>シュウヘンシ</t>
    </rPh>
    <phoneticPr fontId="2"/>
  </si>
  <si>
    <t>瞬間視(Rank)</t>
    <rPh sb="0" eb="3">
      <t>シュンカンシ</t>
    </rPh>
    <phoneticPr fontId="2"/>
  </si>
  <si>
    <t>眼と手の協応動作</t>
    <rPh sb="0" eb="1">
      <t>メ</t>
    </rPh>
    <rPh sb="2" eb="3">
      <t>テ</t>
    </rPh>
    <rPh sb="4" eb="8">
      <t>キョウオウドウサ</t>
    </rPh>
    <phoneticPr fontId="2"/>
  </si>
  <si>
    <t>心拍数1</t>
    <rPh sb="0" eb="3">
      <t>シンパクスウ</t>
    </rPh>
    <phoneticPr fontId="2"/>
  </si>
  <si>
    <t>心拍数2</t>
    <rPh sb="0" eb="3">
      <t>シンパクスウ</t>
    </rPh>
    <phoneticPr fontId="2"/>
  </si>
  <si>
    <t>心拍数3</t>
    <rPh sb="0" eb="3">
      <t>シンパクスウ</t>
    </rPh>
    <phoneticPr fontId="2"/>
  </si>
  <si>
    <t>心拍数4</t>
    <rPh sb="0" eb="3">
      <t>シンパクスウ</t>
    </rPh>
    <phoneticPr fontId="2"/>
  </si>
  <si>
    <t>速度1</t>
    <rPh sb="0" eb="2">
      <t>ソクド</t>
    </rPh>
    <phoneticPr fontId="2"/>
  </si>
  <si>
    <t>速度2</t>
    <rPh sb="0" eb="2">
      <t>ソクド</t>
    </rPh>
    <phoneticPr fontId="2"/>
  </si>
  <si>
    <t>速度3</t>
    <rPh sb="0" eb="2">
      <t>ソクド</t>
    </rPh>
    <phoneticPr fontId="2"/>
  </si>
  <si>
    <t>速度4</t>
    <rPh sb="0" eb="2">
      <t>ソクド</t>
    </rPh>
    <phoneticPr fontId="2"/>
  </si>
  <si>
    <t>AE</t>
    <phoneticPr fontId="2"/>
  </si>
  <si>
    <t>AF</t>
    <phoneticPr fontId="2"/>
  </si>
  <si>
    <t>　</t>
    <phoneticPr fontId="2"/>
  </si>
  <si>
    <t>9.0</t>
    <phoneticPr fontId="2"/>
  </si>
  <si>
    <t>10.0</t>
    <phoneticPr fontId="2"/>
  </si>
  <si>
    <t>11.0</t>
    <phoneticPr fontId="2"/>
  </si>
  <si>
    <t>12.0</t>
    <phoneticPr fontId="2"/>
  </si>
  <si>
    <t>169</t>
    <phoneticPr fontId="2"/>
  </si>
  <si>
    <t>176</t>
    <phoneticPr fontId="2"/>
  </si>
  <si>
    <t>0.89</t>
    <phoneticPr fontId="2"/>
  </si>
  <si>
    <t>103</t>
    <phoneticPr fontId="2"/>
  </si>
  <si>
    <t>8</t>
    <phoneticPr fontId="2"/>
  </si>
  <si>
    <t>4</t>
    <phoneticPr fontId="2"/>
  </si>
  <si>
    <t>28</t>
    <phoneticPr fontId="2"/>
  </si>
  <si>
    <t>70</t>
    <phoneticPr fontId="2"/>
  </si>
  <si>
    <t>43</t>
    <phoneticPr fontId="2"/>
  </si>
  <si>
    <t>170</t>
    <phoneticPr fontId="2"/>
  </si>
  <si>
    <t>8.0</t>
    <phoneticPr fontId="2"/>
  </si>
  <si>
    <t>0.91</t>
    <phoneticPr fontId="2"/>
  </si>
  <si>
    <t>5</t>
    <phoneticPr fontId="2"/>
  </si>
  <si>
    <t>26</t>
    <phoneticPr fontId="2"/>
  </si>
  <si>
    <t>65</t>
    <phoneticPr fontId="2"/>
  </si>
  <si>
    <t>44</t>
    <phoneticPr fontId="2"/>
  </si>
  <si>
    <t>177</t>
    <phoneticPr fontId="2"/>
  </si>
  <si>
    <t>57</t>
    <phoneticPr fontId="2"/>
  </si>
  <si>
    <t>161</t>
    <phoneticPr fontId="2"/>
  </si>
  <si>
    <t>168</t>
    <phoneticPr fontId="2"/>
  </si>
  <si>
    <t>175</t>
    <phoneticPr fontId="2"/>
  </si>
  <si>
    <t>0.92</t>
    <phoneticPr fontId="2"/>
  </si>
  <si>
    <t>100</t>
    <phoneticPr fontId="2"/>
  </si>
  <si>
    <t>10</t>
    <phoneticPr fontId="2"/>
  </si>
  <si>
    <t>41</t>
    <phoneticPr fontId="2"/>
  </si>
  <si>
    <t>17</t>
    <phoneticPr fontId="2"/>
  </si>
  <si>
    <t>48</t>
    <phoneticPr fontId="2"/>
  </si>
  <si>
    <t>158</t>
    <phoneticPr fontId="2"/>
  </si>
  <si>
    <t>181</t>
    <phoneticPr fontId="2"/>
  </si>
  <si>
    <t>99</t>
    <phoneticPr fontId="2"/>
  </si>
  <si>
    <t>6</t>
    <phoneticPr fontId="2"/>
  </si>
  <si>
    <t>40</t>
    <phoneticPr fontId="2"/>
  </si>
  <si>
    <t>18</t>
    <phoneticPr fontId="2"/>
  </si>
  <si>
    <t>6.0</t>
    <phoneticPr fontId="2"/>
  </si>
  <si>
    <t>7.0</t>
    <phoneticPr fontId="2"/>
  </si>
  <si>
    <t>166</t>
    <phoneticPr fontId="2"/>
  </si>
  <si>
    <t>0.82</t>
    <phoneticPr fontId="2"/>
  </si>
  <si>
    <t>9</t>
    <phoneticPr fontId="2"/>
  </si>
  <si>
    <t>2</t>
    <phoneticPr fontId="2"/>
  </si>
  <si>
    <t>27</t>
    <phoneticPr fontId="2"/>
  </si>
  <si>
    <t>68</t>
    <phoneticPr fontId="2"/>
  </si>
  <si>
    <t>46</t>
    <phoneticPr fontId="2"/>
  </si>
  <si>
    <t>24.7</t>
    <phoneticPr fontId="2"/>
  </si>
  <si>
    <t>50</t>
    <phoneticPr fontId="2"/>
  </si>
  <si>
    <t>173</t>
    <phoneticPr fontId="2"/>
  </si>
  <si>
    <t>49</t>
    <phoneticPr fontId="2"/>
  </si>
  <si>
    <t>47</t>
    <phoneticPr fontId="2"/>
  </si>
  <si>
    <t>142</t>
    <phoneticPr fontId="2"/>
  </si>
  <si>
    <t>178</t>
    <phoneticPr fontId="2"/>
  </si>
  <si>
    <t>7</t>
    <phoneticPr fontId="2"/>
  </si>
  <si>
    <t>163</t>
    <phoneticPr fontId="2"/>
  </si>
  <si>
    <t>20.2</t>
    <phoneticPr fontId="2"/>
  </si>
  <si>
    <t>186</t>
    <phoneticPr fontId="2"/>
  </si>
  <si>
    <t>198</t>
    <phoneticPr fontId="2"/>
  </si>
  <si>
    <t>0.87</t>
    <phoneticPr fontId="2"/>
  </si>
  <si>
    <t>3</t>
    <phoneticPr fontId="2"/>
  </si>
  <si>
    <t>19</t>
    <phoneticPr fontId="2"/>
  </si>
  <si>
    <t>42</t>
    <phoneticPr fontId="2"/>
  </si>
  <si>
    <t>54</t>
    <phoneticPr fontId="2"/>
  </si>
  <si>
    <t>31</t>
    <phoneticPr fontId="2"/>
  </si>
  <si>
    <t>7.40</t>
    <phoneticPr fontId="2"/>
  </si>
  <si>
    <t>172</t>
    <phoneticPr fontId="2"/>
  </si>
  <si>
    <t>183</t>
    <phoneticPr fontId="2"/>
  </si>
  <si>
    <t>184</t>
    <phoneticPr fontId="2"/>
  </si>
  <si>
    <t>90</t>
    <phoneticPr fontId="2"/>
  </si>
  <si>
    <t>25</t>
    <phoneticPr fontId="2"/>
  </si>
  <si>
    <t>63</t>
    <phoneticPr fontId="2"/>
  </si>
  <si>
    <t>0.84</t>
    <phoneticPr fontId="2"/>
  </si>
  <si>
    <t>148</t>
    <phoneticPr fontId="2"/>
  </si>
  <si>
    <t>200</t>
    <phoneticPr fontId="2"/>
  </si>
  <si>
    <t>78</t>
    <phoneticPr fontId="2"/>
  </si>
  <si>
    <t>55</t>
    <phoneticPr fontId="2"/>
  </si>
  <si>
    <t>25.2</t>
    <phoneticPr fontId="2"/>
  </si>
  <si>
    <t>18.5</t>
    <phoneticPr fontId="2"/>
  </si>
  <si>
    <t>0.94</t>
    <phoneticPr fontId="2"/>
  </si>
  <si>
    <t>185</t>
    <phoneticPr fontId="2"/>
  </si>
  <si>
    <t>188</t>
    <phoneticPr fontId="2"/>
  </si>
  <si>
    <t>23.4</t>
    <phoneticPr fontId="2"/>
  </si>
  <si>
    <t>59</t>
    <phoneticPr fontId="2"/>
  </si>
  <si>
    <t>102</t>
    <phoneticPr fontId="2"/>
  </si>
  <si>
    <t>34</t>
    <phoneticPr fontId="2"/>
  </si>
  <si>
    <t>27.2</t>
    <phoneticPr fontId="2"/>
  </si>
  <si>
    <t>165</t>
    <phoneticPr fontId="2"/>
  </si>
  <si>
    <t>0.85</t>
    <phoneticPr fontId="2"/>
  </si>
  <si>
    <t>171</t>
    <phoneticPr fontId="2"/>
  </si>
  <si>
    <t>21.8</t>
    <phoneticPr fontId="2"/>
  </si>
  <si>
    <t>22</t>
    <phoneticPr fontId="2"/>
  </si>
  <si>
    <t>1.13</t>
    <phoneticPr fontId="2"/>
  </si>
  <si>
    <t>153</t>
    <phoneticPr fontId="2"/>
  </si>
  <si>
    <t>88</t>
    <phoneticPr fontId="2"/>
  </si>
  <si>
    <t>38</t>
    <phoneticPr fontId="2"/>
  </si>
  <si>
    <t>95</t>
    <phoneticPr fontId="2"/>
  </si>
  <si>
    <t>154</t>
    <phoneticPr fontId="2"/>
  </si>
  <si>
    <t>45</t>
    <phoneticPr fontId="2"/>
  </si>
  <si>
    <t>21.6</t>
    <phoneticPr fontId="2"/>
  </si>
  <si>
    <t>0.96</t>
    <phoneticPr fontId="2"/>
  </si>
  <si>
    <t>15</t>
    <phoneticPr fontId="2"/>
  </si>
  <si>
    <t>25.9</t>
    <phoneticPr fontId="2"/>
  </si>
  <si>
    <t>0.200</t>
    <phoneticPr fontId="2"/>
  </si>
  <si>
    <t>0.99</t>
    <phoneticPr fontId="2"/>
  </si>
  <si>
    <t>24.5</t>
    <phoneticPr fontId="2"/>
  </si>
  <si>
    <t>11歳</t>
  </si>
  <si>
    <t>男性</t>
  </si>
  <si>
    <t>女性</t>
  </si>
  <si>
    <t>10歳</t>
  </si>
  <si>
    <t>13歳</t>
  </si>
  <si>
    <t>1.02</t>
    <phoneticPr fontId="2"/>
  </si>
  <si>
    <t>27.5</t>
    <phoneticPr fontId="2"/>
  </si>
  <si>
    <t>今月のフィールドテストでは、先月と比べて最高速度、動体視力、周辺視で自己ベストを更新しました！また持久力でも先月と比べて心拍数を抑えて走れていました。真剣にトレーニングに臨んだ結果だと思います。一方で立ち幅跳びやステッピングなど跳躍力のカテゴリに関しては、まだまだ発展途上なのでこれから伸ばしていきましょう！お家で1日15回、立ち幅跳びの練習をしよう！</t>
    <rPh sb="0" eb="2">
      <t>コンゲツ</t>
    </rPh>
    <rPh sb="14" eb="16">
      <t>センゲツ</t>
    </rPh>
    <rPh sb="17" eb="18">
      <t>クラ</t>
    </rPh>
    <rPh sb="20" eb="24">
      <t>サイコウソクド</t>
    </rPh>
    <rPh sb="25" eb="29">
      <t>ドウタイシリョク</t>
    </rPh>
    <rPh sb="30" eb="33">
      <t>シュウヘンシ</t>
    </rPh>
    <rPh sb="34" eb="36">
      <t>ジコ</t>
    </rPh>
    <rPh sb="40" eb="42">
      <t>コウシン</t>
    </rPh>
    <rPh sb="49" eb="52">
      <t>ジキュウリョク</t>
    </rPh>
    <rPh sb="54" eb="56">
      <t>センゲツ</t>
    </rPh>
    <rPh sb="57" eb="58">
      <t>クラ</t>
    </rPh>
    <rPh sb="60" eb="63">
      <t>シンパクスウ</t>
    </rPh>
    <rPh sb="64" eb="65">
      <t>オサ</t>
    </rPh>
    <rPh sb="67" eb="68">
      <t>ハシ</t>
    </rPh>
    <rPh sb="75" eb="77">
      <t>シンケン</t>
    </rPh>
    <rPh sb="85" eb="86">
      <t>ノゾ</t>
    </rPh>
    <rPh sb="88" eb="90">
      <t>ケッカ</t>
    </rPh>
    <rPh sb="92" eb="93">
      <t>オモ</t>
    </rPh>
    <rPh sb="97" eb="99">
      <t>イッポウ</t>
    </rPh>
    <rPh sb="100" eb="101">
      <t>タ</t>
    </rPh>
    <rPh sb="102" eb="104">
      <t>ハバト</t>
    </rPh>
    <rPh sb="114" eb="117">
      <t>チョウヤクリョク</t>
    </rPh>
    <rPh sb="123" eb="124">
      <t>カン</t>
    </rPh>
    <rPh sb="132" eb="136">
      <t>ハッテントジョウ</t>
    </rPh>
    <rPh sb="143" eb="144">
      <t>ノ</t>
    </rPh>
    <rPh sb="155" eb="156">
      <t>ウチ</t>
    </rPh>
    <rPh sb="158" eb="159">
      <t>ニチ</t>
    </rPh>
    <rPh sb="161" eb="162">
      <t>カイ</t>
    </rPh>
    <rPh sb="163" eb="164">
      <t>タ</t>
    </rPh>
    <rPh sb="165" eb="167">
      <t>ハバト</t>
    </rPh>
    <rPh sb="169" eb="171">
      <t>レンシュウ</t>
    </rPh>
    <phoneticPr fontId="2"/>
  </si>
  <si>
    <t>３回の測定で連続して最高速度が速くなっています！この調子で目指せ20km/h！速度維持率を保ったまま速度も上げていきましょう。一方で、RJ-Index（連続ジャンプ）や立ち幅跳びなどの跳躍力カテゴリが弱点なので、接地時間や股関節の動きを意識してトレーニングしていきましょう。家でできるトレーニング：立ち幅跳び×15回　縄跳び×５分</t>
    <rPh sb="1" eb="2">
      <t>カイ</t>
    </rPh>
    <rPh sb="3" eb="5">
      <t>ソクテイ</t>
    </rPh>
    <rPh sb="6" eb="8">
      <t>レンゾク</t>
    </rPh>
    <rPh sb="10" eb="14">
      <t>サイコウソクド</t>
    </rPh>
    <rPh sb="15" eb="16">
      <t>ハヤ</t>
    </rPh>
    <rPh sb="26" eb="28">
      <t>チョウシ</t>
    </rPh>
    <rPh sb="29" eb="31">
      <t>メザ</t>
    </rPh>
    <rPh sb="39" eb="44">
      <t>ソクドイジリツ</t>
    </rPh>
    <rPh sb="45" eb="46">
      <t>タモ</t>
    </rPh>
    <rPh sb="50" eb="52">
      <t>ソクド</t>
    </rPh>
    <rPh sb="53" eb="54">
      <t>ア</t>
    </rPh>
    <rPh sb="63" eb="65">
      <t>イッポウ</t>
    </rPh>
    <rPh sb="76" eb="78">
      <t>レンゾク</t>
    </rPh>
    <rPh sb="84" eb="85">
      <t>タ</t>
    </rPh>
    <rPh sb="86" eb="88">
      <t>ハバト</t>
    </rPh>
    <rPh sb="92" eb="95">
      <t>チョウヤクリョク</t>
    </rPh>
    <rPh sb="100" eb="102">
      <t>ジャクテン</t>
    </rPh>
    <rPh sb="106" eb="108">
      <t>セッチ</t>
    </rPh>
    <rPh sb="108" eb="110">
      <t>ジカン</t>
    </rPh>
    <rPh sb="111" eb="114">
      <t>コカンセツ</t>
    </rPh>
    <rPh sb="115" eb="116">
      <t>ウゴ</t>
    </rPh>
    <rPh sb="118" eb="120">
      <t>イシキ</t>
    </rPh>
    <rPh sb="137" eb="138">
      <t>イエ</t>
    </rPh>
    <rPh sb="149" eb="150">
      <t>タ</t>
    </rPh>
    <rPh sb="151" eb="153">
      <t>ハバト</t>
    </rPh>
    <rPh sb="157" eb="158">
      <t>カイ</t>
    </rPh>
    <rPh sb="159" eb="161">
      <t>ナワト</t>
    </rPh>
    <rPh sb="164" eb="165">
      <t>フン</t>
    </rPh>
    <phoneticPr fontId="2"/>
  </si>
  <si>
    <t>2014/10/17</t>
    <phoneticPr fontId="2"/>
  </si>
  <si>
    <t>155</t>
    <phoneticPr fontId="2"/>
  </si>
  <si>
    <t>20.1</t>
    <phoneticPr fontId="2"/>
  </si>
  <si>
    <t>0.93</t>
    <phoneticPr fontId="2"/>
  </si>
  <si>
    <t>29</t>
    <phoneticPr fontId="2"/>
  </si>
  <si>
    <t>73</t>
    <phoneticPr fontId="2"/>
  </si>
  <si>
    <t>174</t>
    <phoneticPr fontId="2"/>
  </si>
  <si>
    <t>52</t>
    <phoneticPr fontId="2"/>
  </si>
  <si>
    <t>1</t>
    <phoneticPr fontId="2"/>
  </si>
  <si>
    <t>0.98</t>
    <phoneticPr fontId="2"/>
  </si>
  <si>
    <t>24.2</t>
    <phoneticPr fontId="2"/>
  </si>
  <si>
    <t>179</t>
    <phoneticPr fontId="2"/>
  </si>
  <si>
    <t>0.95</t>
    <phoneticPr fontId="2"/>
  </si>
  <si>
    <t>21.4</t>
    <phoneticPr fontId="2"/>
  </si>
  <si>
    <t>0.90</t>
    <phoneticPr fontId="2"/>
  </si>
  <si>
    <t>97</t>
    <phoneticPr fontId="2"/>
  </si>
  <si>
    <t>39</t>
    <phoneticPr fontId="2"/>
  </si>
  <si>
    <t>21</t>
    <phoneticPr fontId="2"/>
  </si>
  <si>
    <t>佐藤　友悠</t>
    <phoneticPr fontId="2"/>
  </si>
  <si>
    <t>2015/04/10</t>
    <phoneticPr fontId="2"/>
  </si>
  <si>
    <t>131</t>
    <phoneticPr fontId="2"/>
  </si>
  <si>
    <t>島田　龍空</t>
    <phoneticPr fontId="2"/>
  </si>
  <si>
    <t>2011/04/22</t>
    <phoneticPr fontId="2"/>
  </si>
  <si>
    <t>13.0</t>
    <phoneticPr fontId="2"/>
  </si>
  <si>
    <t>96</t>
    <phoneticPr fontId="2"/>
  </si>
  <si>
    <t>150</t>
    <phoneticPr fontId="2"/>
  </si>
  <si>
    <t>30</t>
    <phoneticPr fontId="2"/>
  </si>
  <si>
    <t>75</t>
    <phoneticPr fontId="2"/>
  </si>
  <si>
    <t>20</t>
    <phoneticPr fontId="2"/>
  </si>
  <si>
    <t>60</t>
    <phoneticPr fontId="2"/>
  </si>
  <si>
    <t>陸上長距離</t>
    <phoneticPr fontId="2"/>
  </si>
  <si>
    <t>144</t>
    <phoneticPr fontId="2"/>
  </si>
  <si>
    <t>156</t>
    <phoneticPr fontId="2"/>
  </si>
  <si>
    <t>182</t>
    <phoneticPr fontId="2"/>
  </si>
  <si>
    <t>187</t>
    <phoneticPr fontId="2"/>
  </si>
  <si>
    <t>22.1</t>
    <phoneticPr fontId="2"/>
  </si>
  <si>
    <t>0.168</t>
    <phoneticPr fontId="2"/>
  </si>
  <si>
    <t>24.4</t>
    <phoneticPr fontId="2"/>
  </si>
  <si>
    <t>193</t>
    <phoneticPr fontId="2"/>
  </si>
  <si>
    <t>194</t>
    <phoneticPr fontId="2"/>
  </si>
  <si>
    <t>196</t>
    <phoneticPr fontId="2"/>
  </si>
  <si>
    <t>24.1</t>
    <phoneticPr fontId="2"/>
  </si>
  <si>
    <t>159</t>
    <phoneticPr fontId="2"/>
  </si>
  <si>
    <t>61</t>
    <phoneticPr fontId="2"/>
  </si>
  <si>
    <t>160</t>
    <phoneticPr fontId="2"/>
  </si>
  <si>
    <t>191</t>
    <phoneticPr fontId="2"/>
  </si>
  <si>
    <t>33.8</t>
    <phoneticPr fontId="2"/>
  </si>
  <si>
    <t>189</t>
    <phoneticPr fontId="2"/>
  </si>
  <si>
    <t>22.0</t>
    <phoneticPr fontId="2"/>
  </si>
  <si>
    <t>6.90</t>
    <phoneticPr fontId="2"/>
  </si>
  <si>
    <t>小倉　丈</t>
    <phoneticPr fontId="2"/>
  </si>
  <si>
    <t>2013/06/12</t>
    <phoneticPr fontId="2"/>
  </si>
  <si>
    <t>テニス</t>
    <phoneticPr fontId="2"/>
  </si>
  <si>
    <t>180</t>
    <phoneticPr fontId="2"/>
  </si>
  <si>
    <t>53</t>
    <phoneticPr fontId="2"/>
  </si>
  <si>
    <t>17.0</t>
    <phoneticPr fontId="2"/>
  </si>
  <si>
    <t>0.78</t>
    <phoneticPr fontId="2"/>
  </si>
  <si>
    <t>164</t>
    <phoneticPr fontId="2"/>
  </si>
  <si>
    <t>中3</t>
    <phoneticPr fontId="2"/>
  </si>
  <si>
    <t>23</t>
    <phoneticPr fontId="2"/>
  </si>
  <si>
    <t>16</t>
    <phoneticPr fontId="2"/>
  </si>
  <si>
    <t>58</t>
    <phoneticPr fontId="2"/>
  </si>
  <si>
    <t>24</t>
    <phoneticPr fontId="2"/>
  </si>
  <si>
    <t>飯野　煌心</t>
    <phoneticPr fontId="2"/>
  </si>
  <si>
    <t>2017/08/28</t>
    <phoneticPr fontId="2"/>
  </si>
  <si>
    <t>小2</t>
    <phoneticPr fontId="2"/>
  </si>
  <si>
    <t>17.1</t>
    <phoneticPr fontId="2"/>
  </si>
  <si>
    <t>飯野　蓮凰</t>
    <phoneticPr fontId="2"/>
  </si>
  <si>
    <t>2018/10/10</t>
    <phoneticPr fontId="2"/>
  </si>
  <si>
    <t>0.88</t>
    <phoneticPr fontId="2"/>
  </si>
  <si>
    <t>190</t>
    <phoneticPr fontId="2"/>
  </si>
  <si>
    <t>192</t>
    <phoneticPr fontId="2"/>
  </si>
  <si>
    <t>0.79</t>
    <phoneticPr fontId="2"/>
  </si>
  <si>
    <t>15.4</t>
    <phoneticPr fontId="2"/>
  </si>
  <si>
    <t>149</t>
    <phoneticPr fontId="2"/>
  </si>
  <si>
    <t>0.70</t>
    <phoneticPr fontId="2"/>
  </si>
  <si>
    <t>5.0</t>
    <phoneticPr fontId="2"/>
  </si>
  <si>
    <t>14</t>
    <phoneticPr fontId="2"/>
  </si>
  <si>
    <t>臼井　遥香</t>
    <phoneticPr fontId="2"/>
  </si>
  <si>
    <t>2016/03/26</t>
    <phoneticPr fontId="2"/>
  </si>
  <si>
    <t>136</t>
    <phoneticPr fontId="2"/>
  </si>
  <si>
    <t>0.83</t>
    <phoneticPr fontId="2"/>
  </si>
  <si>
    <t>競泳（クロール）</t>
    <phoneticPr fontId="2"/>
  </si>
  <si>
    <t>8.20</t>
    <phoneticPr fontId="2"/>
  </si>
  <si>
    <t>23.6</t>
    <phoneticPr fontId="2"/>
  </si>
  <si>
    <t>加藤　千空</t>
    <phoneticPr fontId="2"/>
  </si>
  <si>
    <t>2012/11/11</t>
    <phoneticPr fontId="2"/>
  </si>
  <si>
    <t>競泳（平泳ぎ）</t>
    <phoneticPr fontId="2"/>
  </si>
  <si>
    <t>101</t>
    <phoneticPr fontId="2"/>
  </si>
  <si>
    <t>32</t>
    <phoneticPr fontId="2"/>
  </si>
  <si>
    <t>80</t>
    <phoneticPr fontId="2"/>
  </si>
  <si>
    <t>加藤　怜</t>
    <phoneticPr fontId="2"/>
  </si>
  <si>
    <t>26.4</t>
    <phoneticPr fontId="2"/>
  </si>
  <si>
    <t>140</t>
    <phoneticPr fontId="2"/>
  </si>
  <si>
    <t>20.8</t>
    <phoneticPr fontId="2"/>
  </si>
  <si>
    <t>清水　稜生</t>
    <phoneticPr fontId="2"/>
  </si>
  <si>
    <t>2017/03/23</t>
    <phoneticPr fontId="2"/>
  </si>
  <si>
    <t>0.97</t>
    <phoneticPr fontId="2"/>
  </si>
  <si>
    <t>0.80</t>
    <phoneticPr fontId="2"/>
  </si>
  <si>
    <t>鶴見　蓮音</t>
    <phoneticPr fontId="2"/>
  </si>
  <si>
    <t>2014/03/25</t>
    <phoneticPr fontId="2"/>
  </si>
  <si>
    <t>167</t>
    <phoneticPr fontId="2"/>
  </si>
  <si>
    <t>85</t>
    <phoneticPr fontId="2"/>
  </si>
  <si>
    <t>29.2</t>
    <phoneticPr fontId="2"/>
  </si>
  <si>
    <t>0.186</t>
    <phoneticPr fontId="2"/>
  </si>
  <si>
    <t>157</t>
    <phoneticPr fontId="2"/>
  </si>
  <si>
    <t>24.6</t>
    <phoneticPr fontId="2"/>
  </si>
  <si>
    <t>1.12</t>
    <phoneticPr fontId="2"/>
  </si>
  <si>
    <t>152</t>
    <phoneticPr fontId="2"/>
  </si>
  <si>
    <t>162</t>
    <phoneticPr fontId="2"/>
  </si>
  <si>
    <t>ジャンプや瞬発力などの運動能力の数値は、同学年の中では頭一つ抜けているので、大きな武器になります。特に、地面反力をもらうのがうまく、短時間で力を出せるタイプなので、サッカーでは競り合いや切り返しで強みが出ます。スプリント全体の完成度も高いので、次は「減速→加速」を強化していきましょう。また視力系に関して、総合的には高いですが「瞬間視」が課題です。プレーの見落としや判断の遅れにつながりやすいので、瞬間的な情報処理は伸ばしていきましょう。
宿題：①切り返し走×10本　②アローズアイ（瞬間視）５分　ID:104995 秘密の質問:tochigi1</t>
    <rPh sb="5" eb="8">
      <t>シュンパツリョク</t>
    </rPh>
    <rPh sb="11" eb="13">
      <t>ウンドウ</t>
    </rPh>
    <rPh sb="13" eb="15">
      <t>ノウリョク</t>
    </rPh>
    <rPh sb="16" eb="18">
      <t>スウチ</t>
    </rPh>
    <rPh sb="20" eb="23">
      <t>ドウガクネン</t>
    </rPh>
    <rPh sb="24" eb="25">
      <t>ナカ</t>
    </rPh>
    <rPh sb="27" eb="29">
      <t>アタマヒト</t>
    </rPh>
    <rPh sb="30" eb="31">
      <t>ヌ</t>
    </rPh>
    <rPh sb="38" eb="39">
      <t>オオ</t>
    </rPh>
    <rPh sb="41" eb="43">
      <t>ブキ</t>
    </rPh>
    <rPh sb="49" eb="50">
      <t>トク</t>
    </rPh>
    <rPh sb="52" eb="56">
      <t>ジメンハンリョク</t>
    </rPh>
    <rPh sb="66" eb="69">
      <t>タンジカン</t>
    </rPh>
    <rPh sb="70" eb="71">
      <t>チカラ</t>
    </rPh>
    <rPh sb="72" eb="73">
      <t>ダ</t>
    </rPh>
    <rPh sb="88" eb="89">
      <t>セ</t>
    </rPh>
    <rPh sb="90" eb="91">
      <t>ア</t>
    </rPh>
    <rPh sb="93" eb="94">
      <t>キ</t>
    </rPh>
    <rPh sb="95" eb="96">
      <t>カエ</t>
    </rPh>
    <rPh sb="98" eb="99">
      <t>ツヨ</t>
    </rPh>
    <rPh sb="101" eb="102">
      <t>デ</t>
    </rPh>
    <rPh sb="110" eb="112">
      <t>ゼンタイ</t>
    </rPh>
    <rPh sb="113" eb="116">
      <t>カンセイド</t>
    </rPh>
    <rPh sb="117" eb="118">
      <t>タカ</t>
    </rPh>
    <rPh sb="122" eb="123">
      <t>ツギ</t>
    </rPh>
    <rPh sb="125" eb="127">
      <t>ゲンソク</t>
    </rPh>
    <rPh sb="128" eb="130">
      <t>カソク</t>
    </rPh>
    <rPh sb="132" eb="134">
      <t>キョウカ</t>
    </rPh>
    <rPh sb="145" eb="148">
      <t>シリョクケイ</t>
    </rPh>
    <rPh sb="149" eb="150">
      <t>カン</t>
    </rPh>
    <rPh sb="153" eb="156">
      <t>ソウゴウテキ</t>
    </rPh>
    <rPh sb="158" eb="159">
      <t>タカ</t>
    </rPh>
    <rPh sb="164" eb="167">
      <t>シュンカンシ</t>
    </rPh>
    <rPh sb="169" eb="171">
      <t>カダイ</t>
    </rPh>
    <rPh sb="178" eb="180">
      <t>ミオ</t>
    </rPh>
    <rPh sb="183" eb="185">
      <t>ハンダン</t>
    </rPh>
    <rPh sb="186" eb="187">
      <t>オク</t>
    </rPh>
    <rPh sb="199" eb="202">
      <t>シュンカンテキ</t>
    </rPh>
    <rPh sb="203" eb="207">
      <t>ジョウホウショリ</t>
    </rPh>
    <rPh sb="208" eb="209">
      <t>ノ</t>
    </rPh>
    <rPh sb="220" eb="222">
      <t>シュクダイ</t>
    </rPh>
    <rPh sb="224" eb="225">
      <t>キ</t>
    </rPh>
    <rPh sb="226" eb="227">
      <t>カエ</t>
    </rPh>
    <rPh sb="228" eb="229">
      <t>ソウ</t>
    </rPh>
    <rPh sb="232" eb="233">
      <t>ポン</t>
    </rPh>
    <rPh sb="242" eb="245">
      <t>シュンカンシ</t>
    </rPh>
    <rPh sb="247" eb="248">
      <t>フン</t>
    </rPh>
    <rPh sb="259" eb="261">
      <t>ヒミツ</t>
    </rPh>
    <rPh sb="262" eb="264">
      <t>シツモン</t>
    </rPh>
    <phoneticPr fontId="2"/>
  </si>
  <si>
    <t>前回のフィールドテストと比べて、持久力・跳躍力が伸びています。持久力では、前回と同じスピードで走った時の心拍数の上がり方が抑えられていてgoodです。跳躍力では、全種目の数値が上がっていて、トレーニングに真剣に取り組んでいる成果が出ています。跳躍力は、あらゆるスポーツで活躍できる能力なのでこのまま伸ばしていきましょう。一方で改善点としては、「体の連動性」です。反動なしの「スクワットジャンプ」と反動ありの「垂直跳び」で数値があまり変わらないので、腕・股関節・膝・足首の連動性の改善が必要になってきます。お家で「ヒンジ」「カーフレイズ」「連続カウンタームーブメントジャンプ」を行いましょう。目安は5~10回×３セットです。</t>
    <rPh sb="0" eb="2">
      <t>ゼンカイ</t>
    </rPh>
    <rPh sb="12" eb="13">
      <t>クラ</t>
    </rPh>
    <rPh sb="16" eb="19">
      <t>ジキュウリョク</t>
    </rPh>
    <rPh sb="20" eb="23">
      <t>チョウヤクリョク</t>
    </rPh>
    <rPh sb="24" eb="25">
      <t>ノ</t>
    </rPh>
    <rPh sb="31" eb="34">
      <t>ジキュウリョク</t>
    </rPh>
    <rPh sb="37" eb="39">
      <t>ゼンカイ</t>
    </rPh>
    <rPh sb="40" eb="41">
      <t>オナ</t>
    </rPh>
    <rPh sb="47" eb="48">
      <t>ハシ</t>
    </rPh>
    <rPh sb="50" eb="51">
      <t>トキ</t>
    </rPh>
    <rPh sb="52" eb="55">
      <t>シンパクスウ</t>
    </rPh>
    <rPh sb="56" eb="57">
      <t>ア</t>
    </rPh>
    <rPh sb="59" eb="60">
      <t>カタ</t>
    </rPh>
    <rPh sb="61" eb="62">
      <t>オサ</t>
    </rPh>
    <rPh sb="75" eb="78">
      <t>チョウヤクリョク</t>
    </rPh>
    <rPh sb="81" eb="84">
      <t>ゼンシュモク</t>
    </rPh>
    <rPh sb="85" eb="87">
      <t>スウチ</t>
    </rPh>
    <rPh sb="88" eb="89">
      <t>ア</t>
    </rPh>
    <rPh sb="102" eb="104">
      <t>シンケン</t>
    </rPh>
    <rPh sb="105" eb="106">
      <t>ト</t>
    </rPh>
    <rPh sb="107" eb="108">
      <t>ク</t>
    </rPh>
    <rPh sb="112" eb="114">
      <t>セイカ</t>
    </rPh>
    <rPh sb="115" eb="116">
      <t>デ</t>
    </rPh>
    <rPh sb="121" eb="124">
      <t>チョウヤクリョク</t>
    </rPh>
    <rPh sb="135" eb="137">
      <t>カツヤク</t>
    </rPh>
    <rPh sb="140" eb="142">
      <t>ノウリョク</t>
    </rPh>
    <rPh sb="149" eb="150">
      <t>ノ</t>
    </rPh>
    <rPh sb="160" eb="162">
      <t>イッポウ</t>
    </rPh>
    <rPh sb="163" eb="166">
      <t>カイゼンテン</t>
    </rPh>
    <rPh sb="172" eb="173">
      <t>カラダ</t>
    </rPh>
    <rPh sb="174" eb="177">
      <t>レンドウセイ</t>
    </rPh>
    <rPh sb="181" eb="183">
      <t>ハンドウ</t>
    </rPh>
    <rPh sb="198" eb="200">
      <t>ハンドウ</t>
    </rPh>
    <rPh sb="204" eb="207">
      <t>スイチョクト</t>
    </rPh>
    <rPh sb="210" eb="212">
      <t>スウチ</t>
    </rPh>
    <rPh sb="216" eb="217">
      <t>カ</t>
    </rPh>
    <rPh sb="224" eb="225">
      <t>ウデ</t>
    </rPh>
    <rPh sb="226" eb="229">
      <t>コカンセツ</t>
    </rPh>
    <rPh sb="230" eb="231">
      <t>ヒザ</t>
    </rPh>
    <rPh sb="232" eb="234">
      <t>アシクビ</t>
    </rPh>
    <rPh sb="235" eb="238">
      <t>レンドウセイ</t>
    </rPh>
    <rPh sb="239" eb="241">
      <t>カイゼン</t>
    </rPh>
    <rPh sb="242" eb="244">
      <t>ヒツヨウ</t>
    </rPh>
    <rPh sb="253" eb="254">
      <t>ウチ</t>
    </rPh>
    <rPh sb="269" eb="271">
      <t>レンゾク</t>
    </rPh>
    <rPh sb="288" eb="289">
      <t>オコナ</t>
    </rPh>
    <rPh sb="295" eb="297">
      <t>メヤス</t>
    </rPh>
    <rPh sb="302" eb="303">
      <t>カイ</t>
    </rPh>
    <phoneticPr fontId="2"/>
  </si>
  <si>
    <t>視力系は総じて高いので、あとは瞬間視を上げれば完璧です！目の能力は競技レベルが上がるほど必要になってくるので、今のうちから高いレベルをキープしていきましょう。ただ一方で瞬発力と跳躍力は特訓あるのみです。特に跳躍力はあらゆる競技で使われる力なので、跳躍力→瞬発力の順番で伸ばしていきましょう。具体的なトレーニングとしては、毎日10分①立ち幅跳び　５回×3セット②連続カウンタームーブメントジャンプ　5回×4セット③切り返し走　３回×３セット　をやりましょう。続ければ必ず葵君の力になります。わからないことがあればコーチに気軽に聞いてください。</t>
    <rPh sb="0" eb="2">
      <t>シリョク</t>
    </rPh>
    <rPh sb="2" eb="3">
      <t>ケイ</t>
    </rPh>
    <rPh sb="4" eb="5">
      <t>ソウ</t>
    </rPh>
    <rPh sb="7" eb="8">
      <t>タカ</t>
    </rPh>
    <rPh sb="15" eb="18">
      <t>シュンカンシ</t>
    </rPh>
    <rPh sb="19" eb="20">
      <t>ア</t>
    </rPh>
    <rPh sb="23" eb="25">
      <t>カンペキ</t>
    </rPh>
    <rPh sb="28" eb="29">
      <t>メ</t>
    </rPh>
    <rPh sb="30" eb="32">
      <t>ノウリョク</t>
    </rPh>
    <rPh sb="33" eb="35">
      <t>キョウギ</t>
    </rPh>
    <rPh sb="39" eb="40">
      <t>ア</t>
    </rPh>
    <rPh sb="44" eb="46">
      <t>ヒツヨウ</t>
    </rPh>
    <rPh sb="55" eb="56">
      <t>イマ</t>
    </rPh>
    <rPh sb="61" eb="62">
      <t>タカ</t>
    </rPh>
    <rPh sb="81" eb="83">
      <t>イッポウ</t>
    </rPh>
    <rPh sb="84" eb="87">
      <t>シュンパツリョク</t>
    </rPh>
    <rPh sb="88" eb="91">
      <t>チョウヤクリョク</t>
    </rPh>
    <rPh sb="92" eb="94">
      <t>トックン</t>
    </rPh>
    <rPh sb="101" eb="102">
      <t>トク</t>
    </rPh>
    <rPh sb="103" eb="106">
      <t>チョウヤクリョク</t>
    </rPh>
    <rPh sb="111" eb="113">
      <t>キョウギ</t>
    </rPh>
    <rPh sb="114" eb="115">
      <t>ツカ</t>
    </rPh>
    <rPh sb="118" eb="119">
      <t>チカラ</t>
    </rPh>
    <rPh sb="123" eb="126">
      <t>チョウヤクリョク</t>
    </rPh>
    <rPh sb="127" eb="130">
      <t>シュンパツリョク</t>
    </rPh>
    <rPh sb="131" eb="133">
      <t>ジュンバン</t>
    </rPh>
    <rPh sb="134" eb="135">
      <t>ノ</t>
    </rPh>
    <rPh sb="145" eb="147">
      <t>グタイ</t>
    </rPh>
    <rPh sb="147" eb="148">
      <t>テキ</t>
    </rPh>
    <rPh sb="160" eb="162">
      <t>マイニチ</t>
    </rPh>
    <rPh sb="164" eb="165">
      <t>プン</t>
    </rPh>
    <rPh sb="166" eb="167">
      <t>タ</t>
    </rPh>
    <rPh sb="168" eb="170">
      <t>ハバト</t>
    </rPh>
    <rPh sb="173" eb="174">
      <t>カイ</t>
    </rPh>
    <rPh sb="180" eb="182">
      <t>レンゾク</t>
    </rPh>
    <rPh sb="199" eb="200">
      <t>カイ</t>
    </rPh>
    <rPh sb="206" eb="207">
      <t>キ</t>
    </rPh>
    <rPh sb="208" eb="209">
      <t>カエ</t>
    </rPh>
    <rPh sb="210" eb="211">
      <t>ソウ</t>
    </rPh>
    <rPh sb="213" eb="214">
      <t>カイ</t>
    </rPh>
    <rPh sb="228" eb="229">
      <t>ツヅ</t>
    </rPh>
    <rPh sb="232" eb="233">
      <t>カナラ</t>
    </rPh>
    <rPh sb="234" eb="236">
      <t>アオイクン</t>
    </rPh>
    <rPh sb="237" eb="238">
      <t>チカラ</t>
    </rPh>
    <rPh sb="259" eb="261">
      <t>キガル</t>
    </rPh>
    <rPh sb="262" eb="263">
      <t>キ</t>
    </rPh>
    <phoneticPr fontId="2"/>
  </si>
  <si>
    <t>総合的に運動能力が高いです。特に跳躍力や瞬発力などの自分の体を動かす能力に関して、同年代と比較しても優れています。今回の結果では最高速度が20km/hを突破しました！またほかの多くの種目で前回測定（10月）から記録更新しています。一方で、反動なしの「スクワットジャンプ」と反動ありの「垂直跳び」で差が0.4cmしかないので、体の連動性が改善点になります。股関節・膝・足首などの連動性を高めるために、お家で以下のトレーニングをしましょう。①ヒンジ動作10回×3セット　②連続カウンタームーブメントジャンプ５回×４セット　③膝立ちジャンプ5回×3セット　目指せトップアスリート！</t>
    <rPh sb="0" eb="3">
      <t>ソウゴウテキ</t>
    </rPh>
    <rPh sb="4" eb="8">
      <t>ウンドウノウリョク</t>
    </rPh>
    <rPh sb="9" eb="10">
      <t>タカ</t>
    </rPh>
    <rPh sb="14" eb="15">
      <t>トク</t>
    </rPh>
    <rPh sb="16" eb="19">
      <t>チョウヤクリョク</t>
    </rPh>
    <rPh sb="20" eb="23">
      <t>シュンパツリョク</t>
    </rPh>
    <rPh sb="26" eb="28">
      <t>ジブン</t>
    </rPh>
    <rPh sb="29" eb="30">
      <t>カラダ</t>
    </rPh>
    <rPh sb="31" eb="32">
      <t>ウゴ</t>
    </rPh>
    <rPh sb="34" eb="36">
      <t>ノウリョク</t>
    </rPh>
    <rPh sb="37" eb="38">
      <t>カン</t>
    </rPh>
    <rPh sb="41" eb="44">
      <t>ドウネンダイ</t>
    </rPh>
    <rPh sb="45" eb="47">
      <t>ヒカク</t>
    </rPh>
    <rPh sb="50" eb="51">
      <t>スグ</t>
    </rPh>
    <rPh sb="57" eb="59">
      <t>コンカイ</t>
    </rPh>
    <rPh sb="60" eb="62">
      <t>ケッカ</t>
    </rPh>
    <rPh sb="64" eb="68">
      <t>サイコウソクド</t>
    </rPh>
    <rPh sb="76" eb="78">
      <t>トッパ</t>
    </rPh>
    <rPh sb="88" eb="89">
      <t>オオ</t>
    </rPh>
    <rPh sb="91" eb="93">
      <t>シュモク</t>
    </rPh>
    <rPh sb="94" eb="98">
      <t>ゼンカイソクテイ</t>
    </rPh>
    <rPh sb="101" eb="102">
      <t>ガツ</t>
    </rPh>
    <rPh sb="105" eb="109">
      <t>キロクコウシン</t>
    </rPh>
    <rPh sb="115" eb="117">
      <t>イッポウ</t>
    </rPh>
    <rPh sb="119" eb="121">
      <t>ハンドウ</t>
    </rPh>
    <rPh sb="136" eb="138">
      <t>ハンドウ</t>
    </rPh>
    <rPh sb="142" eb="145">
      <t>スイチョクト</t>
    </rPh>
    <rPh sb="148" eb="149">
      <t>サ</t>
    </rPh>
    <rPh sb="162" eb="163">
      <t>カラダ</t>
    </rPh>
    <rPh sb="164" eb="167">
      <t>レンドウセイ</t>
    </rPh>
    <rPh sb="168" eb="170">
      <t>カイゼン</t>
    </rPh>
    <rPh sb="170" eb="171">
      <t>テン</t>
    </rPh>
    <rPh sb="177" eb="180">
      <t>コカンセツ</t>
    </rPh>
    <rPh sb="181" eb="182">
      <t>ヒザ</t>
    </rPh>
    <rPh sb="183" eb="185">
      <t>アシクビ</t>
    </rPh>
    <rPh sb="188" eb="191">
      <t>レンドウセイ</t>
    </rPh>
    <rPh sb="192" eb="193">
      <t>タカ</t>
    </rPh>
    <rPh sb="200" eb="201">
      <t>ウチ</t>
    </rPh>
    <rPh sb="202" eb="204">
      <t>イカ</t>
    </rPh>
    <rPh sb="222" eb="224">
      <t>ドウサ</t>
    </rPh>
    <rPh sb="226" eb="227">
      <t>カイ</t>
    </rPh>
    <rPh sb="234" eb="236">
      <t>レンゾク</t>
    </rPh>
    <rPh sb="252" eb="253">
      <t>カイ</t>
    </rPh>
    <rPh sb="260" eb="262">
      <t>ヒザダ</t>
    </rPh>
    <rPh sb="268" eb="269">
      <t>カイ</t>
    </rPh>
    <rPh sb="275" eb="277">
      <t>メザ</t>
    </rPh>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</si>
  <si>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ステッピング、連続ジャンプがよい記録でした。一方で最高速度などは課題であること分かりました。走りは３要素に分解していくことで、何を伸ばせばいいのか明確になってきます。今回捺生さんは、足の回転スピード（ステッピング）、足のバネ（連続ジャンプ）が高かったので、前への推進力（立ち幅跳び）を伸ばしていくと足の速さも上がってきます。以下にお家でできるトレーニングを紹介します。①立ち幅跳び５回×３セット　②スクワット10回×３セット　③膝立ちジャンプ5回×3セット</t>
    <rPh sb="0" eb="2">
      <t>コンカイ</t>
    </rPh>
    <rPh sb="2" eb="3">
      <t>ハジ</t>
    </rPh>
    <rPh sb="18" eb="22">
      <t>ソクテイジタイ</t>
    </rPh>
    <rPh sb="23" eb="24">
      <t>ハジ</t>
    </rPh>
    <rPh sb="30" eb="31">
      <t>オモ</t>
    </rPh>
    <rPh sb="39" eb="40">
      <t>マイ</t>
    </rPh>
    <rPh sb="40" eb="42">
      <t>ゲツマツ</t>
    </rPh>
    <rPh sb="43" eb="45">
      <t>ソクテイ</t>
    </rPh>
    <rPh sb="46" eb="47">
      <t>オコナ</t>
    </rPh>
    <rPh sb="51" eb="53">
      <t>キョウギ</t>
    </rPh>
    <rPh sb="54" eb="56">
      <t>カツヤク</t>
    </rPh>
    <rPh sb="69" eb="71">
      <t>ガンバ</t>
    </rPh>
    <rPh sb="80" eb="82">
      <t>コンカイ</t>
    </rPh>
    <rPh sb="94" eb="97">
      <t>ジキュウリョク</t>
    </rPh>
    <rPh sb="105" eb="107">
      <t>レンゾク</t>
    </rPh>
    <rPh sb="114" eb="116">
      <t>キロク</t>
    </rPh>
    <rPh sb="120" eb="122">
      <t>イッポウ</t>
    </rPh>
    <rPh sb="123" eb="127">
      <t>サイコウソクド</t>
    </rPh>
    <rPh sb="130" eb="132">
      <t>カダイ</t>
    </rPh>
    <rPh sb="137" eb="138">
      <t>ワ</t>
    </rPh>
    <rPh sb="144" eb="145">
      <t>ハシ</t>
    </rPh>
    <rPh sb="148" eb="150">
      <t>ヨウソ</t>
    </rPh>
    <rPh sb="151" eb="153">
      <t>ブンカイ</t>
    </rPh>
    <rPh sb="161" eb="162">
      <t>ナニ</t>
    </rPh>
    <rPh sb="163" eb="164">
      <t>ノ</t>
    </rPh>
    <rPh sb="171" eb="173">
      <t>メイカク</t>
    </rPh>
    <rPh sb="181" eb="183">
      <t>コンカイ</t>
    </rPh>
    <rPh sb="183" eb="184">
      <t>ナツ</t>
    </rPh>
    <rPh sb="184" eb="185">
      <t>セイ</t>
    </rPh>
    <rPh sb="189" eb="190">
      <t>アシ</t>
    </rPh>
    <rPh sb="191" eb="193">
      <t>カイテン</t>
    </rPh>
    <rPh sb="206" eb="207">
      <t>アシ</t>
    </rPh>
    <rPh sb="211" eb="213">
      <t>レンゾク</t>
    </rPh>
    <rPh sb="219" eb="220">
      <t>タカ</t>
    </rPh>
    <rPh sb="226" eb="227">
      <t>マエ</t>
    </rPh>
    <rPh sb="229" eb="232">
      <t>スイシンリョク</t>
    </rPh>
    <rPh sb="233" eb="234">
      <t>タ</t>
    </rPh>
    <rPh sb="235" eb="237">
      <t>ハバト</t>
    </rPh>
    <rPh sb="240" eb="241">
      <t>ノ</t>
    </rPh>
    <rPh sb="247" eb="248">
      <t>アシ</t>
    </rPh>
    <rPh sb="249" eb="250">
      <t>ハヤ</t>
    </rPh>
    <rPh sb="252" eb="253">
      <t>ア</t>
    </rPh>
    <rPh sb="260" eb="262">
      <t>イカ</t>
    </rPh>
    <rPh sb="264" eb="265">
      <t>ウチ</t>
    </rPh>
    <rPh sb="276" eb="278">
      <t>ショウカイ</t>
    </rPh>
    <rPh sb="283" eb="284">
      <t>タ</t>
    </rPh>
    <rPh sb="285" eb="287">
      <t>ハバト</t>
    </rPh>
    <rPh sb="289" eb="290">
      <t>カイ</t>
    </rPh>
    <rPh sb="304" eb="305">
      <t>カイ</t>
    </rPh>
    <rPh sb="312" eb="314">
      <t>ヒザダ</t>
    </rPh>
    <rPh sb="320" eb="321">
      <t>カイ</t>
    </rPh>
    <phoneticPr fontId="2"/>
  </si>
  <si>
    <t>小2</t>
  </si>
  <si>
    <t>小5</t>
  </si>
  <si>
    <t>野坂友宏</t>
  </si>
  <si>
    <t>野坂真生</t>
  </si>
  <si>
    <t>野坂幸央</t>
  </si>
  <si>
    <t>小倉大河</t>
  </si>
  <si>
    <t>三ツ森寧樹</t>
  </si>
  <si>
    <t>成田栞那</t>
  </si>
  <si>
    <t>成田睦生</t>
  </si>
  <si>
    <t>大森玲奈</t>
  </si>
  <si>
    <t>川﨑遥斗</t>
  </si>
  <si>
    <t>山本春稀</t>
  </si>
  <si>
    <t>武田寛生</t>
  </si>
  <si>
    <t>南木琥太郎</t>
  </si>
  <si>
    <t>南木こころ</t>
  </si>
  <si>
    <t>金谷壮真</t>
  </si>
  <si>
    <t>塩澤蓮</t>
  </si>
  <si>
    <t>塩澤陸</t>
  </si>
  <si>
    <t>新井天翔</t>
  </si>
  <si>
    <t>大橋優那</t>
  </si>
  <si>
    <t>肥塚紗月</t>
  </si>
  <si>
    <t>鶴見蓮音</t>
  </si>
  <si>
    <t>島田龍空</t>
  </si>
  <si>
    <t>島田和空</t>
  </si>
  <si>
    <t>富田竣介</t>
  </si>
  <si>
    <t>高田和音</t>
  </si>
  <si>
    <t>伊藤暉基</t>
  </si>
  <si>
    <t>臼井遥香</t>
  </si>
  <si>
    <t>臼井咲葵</t>
  </si>
  <si>
    <t>小井沼晴義</t>
  </si>
  <si>
    <t>斎藤啓次</t>
  </si>
  <si>
    <t>熊倉志道</t>
  </si>
  <si>
    <t>堀越悠太郎</t>
  </si>
  <si>
    <t>堀越亮佑</t>
  </si>
  <si>
    <t>平子創介</t>
  </si>
  <si>
    <t>大塚直幸</t>
  </si>
  <si>
    <t>大塚真結美</t>
  </si>
  <si>
    <t>高田賢吾</t>
  </si>
  <si>
    <t>加藤千空</t>
  </si>
  <si>
    <t>加藤怜</t>
  </si>
  <si>
    <t>石川基</t>
  </si>
  <si>
    <t>須田ほたる</t>
  </si>
  <si>
    <t>大貫那緒</t>
  </si>
  <si>
    <t>手塚みお</t>
  </si>
  <si>
    <t>堀田雄聖</t>
  </si>
  <si>
    <t>大出隆佑</t>
  </si>
  <si>
    <t>大出悠貫</t>
  </si>
  <si>
    <t>久保田葵</t>
  </si>
  <si>
    <t>市村隆晟</t>
  </si>
  <si>
    <t>比良大輝</t>
  </si>
  <si>
    <t>小倉丈</t>
  </si>
  <si>
    <t>篠崎龍</t>
  </si>
  <si>
    <t>篠崎楓</t>
  </si>
  <si>
    <t>玉川葵</t>
  </si>
  <si>
    <t>玉川風音</t>
  </si>
  <si>
    <t>小川根ノ葉</t>
  </si>
  <si>
    <t>鈴木遼太郎</t>
  </si>
  <si>
    <t>佐藤友悠</t>
  </si>
  <si>
    <t>永井悠太郎</t>
  </si>
  <si>
    <t>大木ゆいか</t>
  </si>
  <si>
    <t>島田莉由</t>
  </si>
  <si>
    <t>筒井陽菜</t>
  </si>
  <si>
    <t>飯野簾斗</t>
  </si>
  <si>
    <t>飯野煌心</t>
  </si>
  <si>
    <t>飯野蓮凰</t>
  </si>
  <si>
    <t>和久井捺生</t>
  </si>
  <si>
    <t>データ</t>
  </si>
  <si>
    <t>Sheet1</t>
  </si>
  <si>
    <t>結果シート</t>
  </si>
  <si>
    <t>個人シート原本</t>
  </si>
  <si>
    <t>臼井結香</t>
  </si>
  <si>
    <t>出井結大</t>
  </si>
  <si>
    <t>清水稜生</t>
  </si>
  <si>
    <t>野澤奏翔</t>
  </si>
  <si>
    <t>野澤朋樹</t>
  </si>
  <si>
    <t>宮本絢菜</t>
  </si>
  <si>
    <t>男子</t>
  </si>
  <si>
    <t>女子</t>
  </si>
  <si>
    <t>Sheet3</t>
  </si>
  <si>
    <t>今回がはじめてのフィールドテストで、測定そのものも初めてだったと思います。これから毎月末に測定を行い、結果を確認しながら、競技で活躍できるようにトレーニングを積み重ねていきましょう。今回の結果では、目の能力は平均以上でした。特に、見たものに対する認識・判断のスピードが高いのが強みです。一方で、跳躍力が課題になります。跳躍力は瞬発力と強く関係しており、ここが伸びると最高速度の向上にもつながってきます。
「跳ぶ」「走る」といった自分の体を動かす力は、中学年代でも土台になる重要な能力です。次回以降の測定に向けて、コツコツ取り組んでいきましょう。</t>
    <phoneticPr fontId="2"/>
  </si>
  <si>
    <t>今回が初めてのフィールドテストで、測定自体も初めてだったと思います。これから毎月末に測定を行い、結果を確認しながら競技で活躍できるようにトレーニングを頑張っていきましょう！今回のフィールドテストでは特に持久力の結果が良く、同年代に比べて心拍数を抑えて走れていました。一方で他の種目は得意・不得意がはっきりしており、跳躍力ではスクワットジャンプ・連続ジャンプ・ステッピングが得意でした。連続ジャンプとステッピング、立ち幅跳びは特に足の速さと関係しているため、苦手な立ち幅跳びを伸ばしていくとさらに足が速くなります。これからもトレーニングを積み重ねていきましょう。</t>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</si>
  <si>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跳躍力・視力系が高かったです。持久力は同年代と比べても走りの安定感があり、長い時間でもパフォーマンスを落としにくいのが強みになります。跳躍力は瞬発力の土台になる力なので、ここが高いことはスプリントや切り返しなど「一瞬の動き」にもつながってきます。視力系も良いので、プレー中に状況を素早く捉えて判断できる力が期待できます。今後は、毎月の測定で伸びたところを確認しつつ、課題になった項目を重点的にトレーニングして、得意な能力をさらに武器にしていきましょう。</t>
    <phoneticPr fontId="2"/>
  </si>
  <si>
    <t>エラー 2023</t>
    <phoneticPr fontId="2"/>
  </si>
  <si>
    <t>1.10</t>
    <phoneticPr fontId="2"/>
  </si>
  <si>
    <t>19.3</t>
    <phoneticPr fontId="2"/>
  </si>
  <si>
    <t>22.8</t>
    <phoneticPr fontId="2"/>
  </si>
  <si>
    <t>1.01</t>
    <phoneticPr fontId="2"/>
  </si>
  <si>
    <t>1.05</t>
    <phoneticPr fontId="2"/>
  </si>
  <si>
    <t>19.5</t>
    <phoneticPr fontId="2"/>
  </si>
  <si>
    <t>23.7</t>
    <phoneticPr fontId="2"/>
  </si>
  <si>
    <t>33</t>
    <phoneticPr fontId="2"/>
  </si>
  <si>
    <t>83</t>
    <phoneticPr fontId="2"/>
  </si>
  <si>
    <t>139</t>
    <phoneticPr fontId="2"/>
  </si>
  <si>
    <t>20.0</t>
    <phoneticPr fontId="2"/>
  </si>
  <si>
    <t>1.14</t>
    <phoneticPr fontId="2"/>
  </si>
  <si>
    <t>18.9</t>
    <phoneticPr fontId="2"/>
  </si>
  <si>
    <t>146</t>
    <phoneticPr fontId="2"/>
  </si>
  <si>
    <t>51</t>
    <phoneticPr fontId="2"/>
  </si>
  <si>
    <t>20.7</t>
    <phoneticPr fontId="2"/>
  </si>
  <si>
    <t>0.218</t>
    <phoneticPr fontId="2"/>
  </si>
  <si>
    <t>0.189</t>
    <phoneticPr fontId="2"/>
  </si>
  <si>
    <t>大塚　直幸</t>
    <phoneticPr fontId="2"/>
  </si>
  <si>
    <t>2015/04/18</t>
    <phoneticPr fontId="2"/>
  </si>
  <si>
    <t>22.7</t>
    <phoneticPr fontId="2"/>
  </si>
  <si>
    <t>38.0</t>
    <phoneticPr fontId="2"/>
  </si>
  <si>
    <t>0.194</t>
    <phoneticPr fontId="2"/>
  </si>
  <si>
    <t>123</t>
    <phoneticPr fontId="2"/>
  </si>
  <si>
    <t>大橋　優那</t>
    <phoneticPr fontId="2"/>
  </si>
  <si>
    <t>2012/02/26</t>
    <phoneticPr fontId="2"/>
  </si>
  <si>
    <t>23.8</t>
    <phoneticPr fontId="2"/>
  </si>
  <si>
    <t>21.9</t>
    <phoneticPr fontId="2"/>
  </si>
  <si>
    <t>13.4</t>
    <phoneticPr fontId="2"/>
  </si>
  <si>
    <t>12.2</t>
    <phoneticPr fontId="2"/>
  </si>
  <si>
    <t>28.2</t>
    <phoneticPr fontId="2"/>
  </si>
  <si>
    <t>28.8</t>
    <phoneticPr fontId="2"/>
  </si>
  <si>
    <t>141</t>
    <phoneticPr fontId="2"/>
  </si>
  <si>
    <t>21.0</t>
    <phoneticPr fontId="2"/>
  </si>
  <si>
    <t>久保田　葵</t>
    <phoneticPr fontId="2"/>
  </si>
  <si>
    <t>2015/07/17</t>
    <phoneticPr fontId="2"/>
  </si>
  <si>
    <t>テニス、陸上短距離・跳躍</t>
    <phoneticPr fontId="2"/>
  </si>
  <si>
    <t>202</t>
    <phoneticPr fontId="2"/>
  </si>
  <si>
    <t>138</t>
    <phoneticPr fontId="2"/>
  </si>
  <si>
    <t>肥塚　紗月</t>
    <phoneticPr fontId="2"/>
  </si>
  <si>
    <t>2011/06/17</t>
    <phoneticPr fontId="2"/>
  </si>
  <si>
    <t>0.164</t>
    <phoneticPr fontId="2"/>
  </si>
  <si>
    <t>1.17</t>
    <phoneticPr fontId="2"/>
  </si>
  <si>
    <t>149.4</t>
    <phoneticPr fontId="2"/>
  </si>
  <si>
    <t>104</t>
    <phoneticPr fontId="2"/>
  </si>
  <si>
    <t>1.16</t>
    <phoneticPr fontId="2"/>
  </si>
  <si>
    <t>8.40</t>
    <phoneticPr fontId="2"/>
  </si>
  <si>
    <t>98</t>
    <phoneticPr fontId="2"/>
  </si>
  <si>
    <t>鈴木　遼太郎</t>
    <phoneticPr fontId="2"/>
  </si>
  <si>
    <t>2014/06/03</t>
    <phoneticPr fontId="2"/>
  </si>
  <si>
    <t>27.8</t>
    <phoneticPr fontId="2"/>
  </si>
  <si>
    <t>0.166</t>
    <phoneticPr fontId="2"/>
  </si>
  <si>
    <t>16.8</t>
    <phoneticPr fontId="2"/>
  </si>
  <si>
    <t>手塚　みお</t>
    <phoneticPr fontId="2"/>
  </si>
  <si>
    <t>2014/02/13</t>
    <phoneticPr fontId="2"/>
  </si>
  <si>
    <t>6.72</t>
    <phoneticPr fontId="2"/>
  </si>
  <si>
    <t>21.3</t>
    <phoneticPr fontId="2"/>
  </si>
  <si>
    <t>23.3</t>
    <phoneticPr fontId="2"/>
  </si>
  <si>
    <t>堀田　雄聖</t>
    <phoneticPr fontId="2"/>
  </si>
  <si>
    <t>2015/04/11</t>
    <phoneticPr fontId="2"/>
  </si>
  <si>
    <t>山本　春稀</t>
    <phoneticPr fontId="2"/>
  </si>
  <si>
    <t>2016/03/27</t>
    <phoneticPr fontId="2"/>
  </si>
  <si>
    <t>0.185</t>
    <phoneticPr fontId="2"/>
  </si>
  <si>
    <t>16.2</t>
    <phoneticPr fontId="2"/>
  </si>
  <si>
    <t>7歳</t>
  </si>
  <si>
    <t>前回の測定より6点アップしました！今回は連続ジャンプ・速度維持率・目の動き（眼球運動）・周りを見る力（周辺視）が伸びています。特に連続ジャンプは学年平均を上回っており、ジャンプを続ける力がついてきました。さらに、速いスピードを保ったまま速度維持率が上がっているので、ダッシュを何回もくり返す力が前より高くなっています！この調子でトレーニングを続けていこう！３月は瞬発力で自己ベストがとれるように、スキップを練習してみよう！</t>
    <rPh sb="179" eb="180">
      <t>ガツ</t>
    </rPh>
    <rPh sb="181" eb="184">
      <t>シュンパツリョク</t>
    </rPh>
    <rPh sb="185" eb="187">
      <t>ジコ</t>
    </rPh>
    <rPh sb="203" eb="205">
      <t>レンシュウ</t>
    </rPh>
    <phoneticPr fontId="2"/>
  </si>
  <si>
    <t>今回のフィールドテストでは、スクワットジャンプと垂直跳びが伸びて、自己ベスト更新でした！この2つは足のパワー（強くふみこむ力）を見る種目なので、晴義くんの体を動かす力がしっかりついてきたということです。
次は、このパワーを走る・跳ぶなどの動きにつなげていこう。まずは毎週のトレーニングで、フォーム（体の動かし方）を意識して取り組んでみよう！</t>
    <phoneticPr fontId="2"/>
  </si>
  <si>
    <t>追田　理仁</t>
    <phoneticPr fontId="2"/>
  </si>
  <si>
    <t>2016/08/03</t>
    <phoneticPr fontId="2"/>
  </si>
  <si>
    <t>バスケットボール、競泳（クロール）</t>
    <phoneticPr fontId="2"/>
  </si>
  <si>
    <t>45.1</t>
    <phoneticPr fontId="2"/>
  </si>
  <si>
    <t>611</t>
    <phoneticPr fontId="2"/>
  </si>
  <si>
    <t>北條　優空</t>
    <phoneticPr fontId="2"/>
  </si>
  <si>
    <t>2017/06/24</t>
    <phoneticPr fontId="2"/>
  </si>
  <si>
    <t>36</t>
    <phoneticPr fontId="2"/>
  </si>
  <si>
    <t>17.9</t>
    <phoneticPr fontId="2"/>
  </si>
  <si>
    <t>8.70</t>
    <phoneticPr fontId="2"/>
  </si>
  <si>
    <t>渡辺　華</t>
    <phoneticPr fontId="2"/>
  </si>
  <si>
    <t>2018/10/23</t>
    <phoneticPr fontId="2"/>
  </si>
  <si>
    <t>青木　里依奈</t>
    <phoneticPr fontId="2"/>
  </si>
  <si>
    <t>2018/02/17</t>
    <phoneticPr fontId="2"/>
  </si>
  <si>
    <t>7.27</t>
    <phoneticPr fontId="2"/>
  </si>
  <si>
    <t>17.3</t>
    <phoneticPr fontId="2"/>
  </si>
  <si>
    <t>15.3</t>
    <phoneticPr fontId="2"/>
  </si>
  <si>
    <t>17.8</t>
    <phoneticPr fontId="2"/>
  </si>
  <si>
    <t>127</t>
    <phoneticPr fontId="2"/>
  </si>
  <si>
    <t>92.50</t>
    <phoneticPr fontId="2"/>
  </si>
  <si>
    <t>9.80</t>
    <phoneticPr fontId="2"/>
  </si>
  <si>
    <t>14.4</t>
    <phoneticPr fontId="2"/>
  </si>
  <si>
    <t>0.69</t>
    <phoneticPr fontId="2"/>
  </si>
  <si>
    <t>27.1</t>
    <phoneticPr fontId="2"/>
  </si>
  <si>
    <t>石﨑　みれい</t>
    <phoneticPr fontId="2"/>
  </si>
  <si>
    <t>2015/12/20</t>
    <phoneticPr fontId="2"/>
  </si>
  <si>
    <t>134</t>
    <phoneticPr fontId="2"/>
  </si>
  <si>
    <t>市村　隆晟</t>
    <phoneticPr fontId="2"/>
  </si>
  <si>
    <t>2013/04/06</t>
    <phoneticPr fontId="2"/>
  </si>
  <si>
    <t>108</t>
    <phoneticPr fontId="2"/>
  </si>
  <si>
    <t>42.4</t>
    <phoneticPr fontId="2"/>
  </si>
  <si>
    <t>34.3</t>
    <phoneticPr fontId="2"/>
  </si>
  <si>
    <t>12.10</t>
    <phoneticPr fontId="2"/>
  </si>
  <si>
    <t>26.5</t>
    <phoneticPr fontId="2"/>
  </si>
  <si>
    <t>105</t>
    <phoneticPr fontId="2"/>
  </si>
  <si>
    <t>19.6</t>
    <phoneticPr fontId="2"/>
  </si>
  <si>
    <t>追田　美和</t>
    <phoneticPr fontId="2"/>
  </si>
  <si>
    <t>2018/04/20</t>
    <phoneticPr fontId="2"/>
  </si>
  <si>
    <t>11.83</t>
    <phoneticPr fontId="2"/>
  </si>
  <si>
    <t>7.90</t>
    <phoneticPr fontId="2"/>
  </si>
  <si>
    <t>20.6</t>
    <phoneticPr fontId="2"/>
  </si>
  <si>
    <t>7.42</t>
    <phoneticPr fontId="2"/>
  </si>
  <si>
    <t>129</t>
    <phoneticPr fontId="2"/>
  </si>
  <si>
    <t>137</t>
    <phoneticPr fontId="2"/>
  </si>
  <si>
    <t>27.9</t>
    <phoneticPr fontId="2"/>
  </si>
  <si>
    <t>42.3</t>
    <phoneticPr fontId="2"/>
  </si>
  <si>
    <t>13.20</t>
    <phoneticPr fontId="2"/>
  </si>
  <si>
    <t>0.205</t>
    <phoneticPr fontId="2"/>
  </si>
  <si>
    <t>15歳</t>
    <phoneticPr fontId="2"/>
  </si>
  <si>
    <t>29.1</t>
    <phoneticPr fontId="2"/>
  </si>
  <si>
    <t>41.7</t>
    <phoneticPr fontId="2"/>
  </si>
  <si>
    <t>0.179</t>
    <phoneticPr fontId="2"/>
  </si>
  <si>
    <t>214</t>
    <phoneticPr fontId="2"/>
  </si>
  <si>
    <t>8.80</t>
    <phoneticPr fontId="2"/>
  </si>
  <si>
    <t>35</t>
    <phoneticPr fontId="2"/>
  </si>
  <si>
    <t>49.5</t>
    <phoneticPr fontId="2"/>
  </si>
  <si>
    <t>17.6</t>
    <phoneticPr fontId="2"/>
  </si>
  <si>
    <t>6.17</t>
    <phoneticPr fontId="2"/>
  </si>
  <si>
    <t>30.9</t>
    <phoneticPr fontId="2"/>
  </si>
  <si>
    <t>1.56</t>
    <phoneticPr fontId="2"/>
  </si>
  <si>
    <t>28.4</t>
    <phoneticPr fontId="2"/>
  </si>
  <si>
    <t>坂本　雪斗</t>
    <phoneticPr fontId="2"/>
  </si>
  <si>
    <t>2017/02/15</t>
    <phoneticPr fontId="2"/>
  </si>
  <si>
    <t>サッカー、バスケットボール</t>
    <phoneticPr fontId="2"/>
  </si>
  <si>
    <t>13.01</t>
    <phoneticPr fontId="2"/>
  </si>
  <si>
    <t>0.251</t>
    <phoneticPr fontId="2"/>
  </si>
  <si>
    <t>0.64</t>
    <phoneticPr fontId="2"/>
  </si>
  <si>
    <t>30.4</t>
    <phoneticPr fontId="2"/>
  </si>
  <si>
    <t>25.4</t>
    <phoneticPr fontId="2"/>
  </si>
  <si>
    <t>86.60</t>
    <phoneticPr fontId="2"/>
  </si>
  <si>
    <t>0.165</t>
    <phoneticPr fontId="2"/>
  </si>
  <si>
    <t>6.85</t>
    <phoneticPr fontId="2"/>
  </si>
  <si>
    <t>90.40</t>
    <phoneticPr fontId="2"/>
  </si>
  <si>
    <t>1.06</t>
    <phoneticPr fontId="2"/>
  </si>
  <si>
    <t>30.8</t>
    <phoneticPr fontId="2"/>
  </si>
  <si>
    <t>28.7</t>
    <phoneticPr fontId="2"/>
  </si>
  <si>
    <t>0.173</t>
    <phoneticPr fontId="2"/>
  </si>
  <si>
    <t>18.6</t>
    <phoneticPr fontId="2"/>
  </si>
  <si>
    <t>1.08</t>
    <phoneticPr fontId="2"/>
  </si>
  <si>
    <t>高田　和音</t>
    <phoneticPr fontId="2"/>
  </si>
  <si>
    <t>2011/04/15</t>
    <phoneticPr fontId="2"/>
  </si>
  <si>
    <t>1.82</t>
    <phoneticPr fontId="2"/>
  </si>
  <si>
    <t>田中　悠慎</t>
    <phoneticPr fontId="2"/>
  </si>
  <si>
    <t>2016/06/08</t>
    <phoneticPr fontId="2"/>
  </si>
  <si>
    <t>116</t>
    <phoneticPr fontId="2"/>
  </si>
  <si>
    <t>田中　友紀乃</t>
    <phoneticPr fontId="2"/>
  </si>
  <si>
    <t>2018/11/29</t>
    <phoneticPr fontId="2"/>
  </si>
  <si>
    <t>14.3</t>
    <phoneticPr fontId="2"/>
  </si>
  <si>
    <t>14.2</t>
    <phoneticPr fontId="2"/>
  </si>
  <si>
    <t>13.10</t>
    <phoneticPr fontId="2"/>
  </si>
  <si>
    <t>93.20</t>
    <phoneticPr fontId="2"/>
  </si>
  <si>
    <t>22.2</t>
    <phoneticPr fontId="2"/>
  </si>
  <si>
    <t>6.50</t>
    <phoneticPr fontId="2"/>
  </si>
  <si>
    <t>26.8</t>
    <phoneticPr fontId="2"/>
  </si>
  <si>
    <t>7.60</t>
    <phoneticPr fontId="2"/>
  </si>
  <si>
    <t>5.90</t>
    <phoneticPr fontId="2"/>
  </si>
  <si>
    <t>南木　琥太郎</t>
    <phoneticPr fontId="2"/>
  </si>
  <si>
    <t>2015/10/27</t>
    <phoneticPr fontId="2"/>
  </si>
  <si>
    <t>6.35</t>
    <phoneticPr fontId="2"/>
  </si>
  <si>
    <t>南木　こころ</t>
    <phoneticPr fontId="2"/>
  </si>
  <si>
    <t>2016/10/30</t>
    <phoneticPr fontId="2"/>
  </si>
  <si>
    <t>7.30</t>
    <phoneticPr fontId="2"/>
  </si>
  <si>
    <t>131.5</t>
    <phoneticPr fontId="2"/>
  </si>
  <si>
    <t>29.0</t>
    <phoneticPr fontId="2"/>
  </si>
  <si>
    <t>野澤　奏翔</t>
    <phoneticPr fontId="2"/>
  </si>
  <si>
    <t>2013/08/27</t>
    <phoneticPr fontId="2"/>
  </si>
  <si>
    <t>21.1</t>
    <phoneticPr fontId="2"/>
  </si>
  <si>
    <t>0.178</t>
    <phoneticPr fontId="2"/>
  </si>
  <si>
    <t>野澤　朋樹</t>
    <phoneticPr fontId="2"/>
  </si>
  <si>
    <t>2016/04/09</t>
    <phoneticPr fontId="2"/>
  </si>
  <si>
    <t>132</t>
    <phoneticPr fontId="2"/>
  </si>
  <si>
    <t>18.7</t>
    <phoneticPr fontId="2"/>
  </si>
  <si>
    <t>32.3</t>
    <phoneticPr fontId="2"/>
  </si>
  <si>
    <t>比良　大輝</t>
    <phoneticPr fontId="2"/>
  </si>
  <si>
    <t>2015/05/31</t>
    <phoneticPr fontId="2"/>
  </si>
  <si>
    <t>ラグビー</t>
    <phoneticPr fontId="2"/>
  </si>
  <si>
    <t>14.8</t>
    <phoneticPr fontId="2"/>
  </si>
  <si>
    <t>6.38</t>
    <phoneticPr fontId="2"/>
  </si>
  <si>
    <t>1.35</t>
    <phoneticPr fontId="2"/>
  </si>
  <si>
    <t>6.97</t>
    <phoneticPr fontId="2"/>
  </si>
  <si>
    <t>105.00</t>
    <phoneticPr fontId="2"/>
  </si>
  <si>
    <t>0.66</t>
    <phoneticPr fontId="2"/>
  </si>
  <si>
    <t>村上　寛奈</t>
    <phoneticPr fontId="2"/>
  </si>
  <si>
    <t>2015/02/10</t>
    <phoneticPr fontId="2"/>
  </si>
  <si>
    <t>139.9</t>
    <phoneticPr fontId="2"/>
  </si>
  <si>
    <t>8.5</t>
    <phoneticPr fontId="2"/>
  </si>
  <si>
    <t>13.52</t>
    <phoneticPr fontId="2"/>
  </si>
  <si>
    <t>6.62</t>
    <phoneticPr fontId="2"/>
  </si>
  <si>
    <t>137.5</t>
    <phoneticPr fontId="2"/>
  </si>
  <si>
    <t>17.4</t>
    <phoneticPr fontId="2"/>
  </si>
  <si>
    <t>128</t>
    <phoneticPr fontId="2"/>
  </si>
  <si>
    <t>2026/04/28</t>
    <phoneticPr fontId="2"/>
  </si>
  <si>
    <t>115</t>
    <phoneticPr fontId="2"/>
  </si>
  <si>
    <t>9.48</t>
    <phoneticPr fontId="2"/>
  </si>
  <si>
    <t>758.59</t>
    <phoneticPr fontId="2"/>
  </si>
  <si>
    <t>853.41</t>
    <phoneticPr fontId="2"/>
  </si>
  <si>
    <t>-30.50</t>
    <phoneticPr fontId="2"/>
  </si>
  <si>
    <t>25.60</t>
    <phoneticPr fontId="2"/>
  </si>
  <si>
    <t>0.76</t>
    <phoneticPr fontId="2"/>
  </si>
  <si>
    <t>15.1</t>
    <phoneticPr fontId="2"/>
  </si>
  <si>
    <t>554</t>
    <phoneticPr fontId="2"/>
  </si>
  <si>
    <t>118.0</t>
    <phoneticPr fontId="2"/>
  </si>
  <si>
    <t>13</t>
    <phoneticPr fontId="2"/>
  </si>
  <si>
    <t>0.152</t>
    <phoneticPr fontId="2"/>
  </si>
  <si>
    <t>20.3</t>
    <phoneticPr fontId="2"/>
  </si>
  <si>
    <t>1.34</t>
    <phoneticPr fontId="2"/>
  </si>
  <si>
    <t>135</t>
    <phoneticPr fontId="2"/>
  </si>
  <si>
    <t>2026/04/24</t>
    <phoneticPr fontId="2"/>
  </si>
  <si>
    <t>11.99</t>
    <phoneticPr fontId="2"/>
  </si>
  <si>
    <t>959.50</t>
    <phoneticPr fontId="2"/>
  </si>
  <si>
    <t>1,079.44</t>
    <phoneticPr fontId="2"/>
  </si>
  <si>
    <t>73.00</t>
    <phoneticPr fontId="2"/>
  </si>
  <si>
    <t>11.00</t>
    <phoneticPr fontId="2"/>
  </si>
  <si>
    <t>395</t>
    <phoneticPr fontId="2"/>
  </si>
  <si>
    <t>8.21</t>
    <phoneticPr fontId="2"/>
  </si>
  <si>
    <t>129.7</t>
    <phoneticPr fontId="2"/>
  </si>
  <si>
    <t>0.228</t>
    <phoneticPr fontId="2"/>
  </si>
  <si>
    <t>0.75</t>
    <phoneticPr fontId="2"/>
  </si>
  <si>
    <t>301</t>
    <phoneticPr fontId="2"/>
  </si>
  <si>
    <t>8.14</t>
    <phoneticPr fontId="2"/>
  </si>
  <si>
    <t>118.3</t>
    <phoneticPr fontId="2"/>
  </si>
  <si>
    <t>17.5</t>
    <phoneticPr fontId="2"/>
  </si>
  <si>
    <t>2026/04/27</t>
    <phoneticPr fontId="2"/>
  </si>
  <si>
    <t>13.84</t>
    <phoneticPr fontId="2"/>
  </si>
  <si>
    <t>1,107.81</t>
    <phoneticPr fontId="2"/>
  </si>
  <si>
    <t>1,246.29</t>
    <phoneticPr fontId="2"/>
  </si>
  <si>
    <t>68.80</t>
    <phoneticPr fontId="2"/>
  </si>
  <si>
    <t>1.18</t>
    <phoneticPr fontId="2"/>
  </si>
  <si>
    <t>499</t>
    <phoneticPr fontId="2"/>
  </si>
  <si>
    <t>7.34</t>
    <phoneticPr fontId="2"/>
  </si>
  <si>
    <t>131.9</t>
    <phoneticPr fontId="2"/>
  </si>
  <si>
    <t>21.2</t>
    <phoneticPr fontId="2"/>
  </si>
  <si>
    <t>0.159</t>
    <phoneticPr fontId="2"/>
  </si>
  <si>
    <t>14.11</t>
    <phoneticPr fontId="2"/>
  </si>
  <si>
    <t>1,129.09</t>
    <phoneticPr fontId="2"/>
  </si>
  <si>
    <t>1,270.23</t>
    <phoneticPr fontId="2"/>
  </si>
  <si>
    <t>65.60</t>
    <phoneticPr fontId="2"/>
  </si>
  <si>
    <t>9.70</t>
    <phoneticPr fontId="2"/>
  </si>
  <si>
    <t>1.09</t>
    <phoneticPr fontId="2"/>
  </si>
  <si>
    <t>22.5</t>
    <phoneticPr fontId="2"/>
  </si>
  <si>
    <t>726</t>
    <phoneticPr fontId="2"/>
  </si>
  <si>
    <t>5.68</t>
    <phoneticPr fontId="2"/>
  </si>
  <si>
    <t>155.9</t>
    <phoneticPr fontId="2"/>
  </si>
  <si>
    <t>43.0</t>
    <phoneticPr fontId="2"/>
  </si>
  <si>
    <t>40.1</t>
    <phoneticPr fontId="2"/>
  </si>
  <si>
    <t>37.6</t>
    <phoneticPr fontId="2"/>
  </si>
  <si>
    <t>0.139</t>
    <phoneticPr fontId="2"/>
  </si>
  <si>
    <t>32.1</t>
    <phoneticPr fontId="2"/>
  </si>
  <si>
    <t>2.31</t>
    <phoneticPr fontId="2"/>
  </si>
  <si>
    <t>216</t>
    <phoneticPr fontId="2"/>
  </si>
  <si>
    <t>出井　結大</t>
    <phoneticPr fontId="2"/>
  </si>
  <si>
    <t>2019/02/17</t>
    <phoneticPr fontId="2"/>
  </si>
  <si>
    <t>2026/04/23</t>
    <phoneticPr fontId="2"/>
  </si>
  <si>
    <t>122</t>
    <phoneticPr fontId="2"/>
  </si>
  <si>
    <t>120</t>
    <phoneticPr fontId="2"/>
  </si>
  <si>
    <t>14.83</t>
    <phoneticPr fontId="2"/>
  </si>
  <si>
    <t>1,186.41</t>
    <phoneticPr fontId="2"/>
  </si>
  <si>
    <t>1,334.71</t>
    <phoneticPr fontId="2"/>
  </si>
  <si>
    <t>106.00</t>
    <phoneticPr fontId="2"/>
  </si>
  <si>
    <t>2.00</t>
    <phoneticPr fontId="2"/>
  </si>
  <si>
    <t>3.43</t>
    <phoneticPr fontId="2"/>
  </si>
  <si>
    <t>8.32</t>
    <phoneticPr fontId="2"/>
  </si>
  <si>
    <t>109.7</t>
    <phoneticPr fontId="2"/>
  </si>
  <si>
    <t>18.2</t>
    <phoneticPr fontId="2"/>
  </si>
  <si>
    <t>0.170</t>
    <phoneticPr fontId="2"/>
  </si>
  <si>
    <t>69</t>
    <phoneticPr fontId="2"/>
  </si>
  <si>
    <t>臼井　咲葵</t>
    <phoneticPr fontId="2"/>
  </si>
  <si>
    <t>2018/11/21</t>
    <phoneticPr fontId="2"/>
  </si>
  <si>
    <t>11.30</t>
    <phoneticPr fontId="2"/>
  </si>
  <si>
    <t>904.72</t>
    <phoneticPr fontId="2"/>
  </si>
  <si>
    <t>1,017.81</t>
    <phoneticPr fontId="2"/>
  </si>
  <si>
    <t>118.50</t>
    <phoneticPr fontId="2"/>
  </si>
  <si>
    <t>0.68</t>
    <phoneticPr fontId="2"/>
  </si>
  <si>
    <t>17.2</t>
    <phoneticPr fontId="2"/>
  </si>
  <si>
    <t>457</t>
    <phoneticPr fontId="2"/>
  </si>
  <si>
    <t>7.78</t>
    <phoneticPr fontId="2"/>
  </si>
  <si>
    <t>123.3</t>
    <phoneticPr fontId="2"/>
  </si>
  <si>
    <t>22.4</t>
    <phoneticPr fontId="2"/>
  </si>
  <si>
    <t>27.0</t>
    <phoneticPr fontId="2"/>
  </si>
  <si>
    <t>0.212</t>
    <phoneticPr fontId="2"/>
  </si>
  <si>
    <t>19.0</t>
    <phoneticPr fontId="2"/>
  </si>
  <si>
    <t>12.03</t>
    <phoneticPr fontId="2"/>
  </si>
  <si>
    <t>962.48</t>
    <phoneticPr fontId="2"/>
  </si>
  <si>
    <t>1,082.79</t>
    <phoneticPr fontId="2"/>
  </si>
  <si>
    <t>115.60</t>
    <phoneticPr fontId="2"/>
  </si>
  <si>
    <t>0.71</t>
    <phoneticPr fontId="2"/>
  </si>
  <si>
    <t>26.6</t>
    <phoneticPr fontId="2"/>
  </si>
  <si>
    <t>24.8</t>
    <phoneticPr fontId="2"/>
  </si>
  <si>
    <t>13.37</t>
    <phoneticPr fontId="2"/>
  </si>
  <si>
    <t>1,069.81</t>
    <phoneticPr fontId="2"/>
  </si>
  <si>
    <t>1,203.54</t>
    <phoneticPr fontId="2"/>
  </si>
  <si>
    <t>88.00</t>
    <phoneticPr fontId="2"/>
  </si>
  <si>
    <t>8.00</t>
    <phoneticPr fontId="2"/>
  </si>
  <si>
    <t>1.07</t>
    <phoneticPr fontId="2"/>
  </si>
  <si>
    <t>16.5</t>
    <phoneticPr fontId="2"/>
  </si>
  <si>
    <t>590</t>
    <phoneticPr fontId="2"/>
  </si>
  <si>
    <t>6.94</t>
    <phoneticPr fontId="2"/>
  </si>
  <si>
    <t>134.6</t>
    <phoneticPr fontId="2"/>
  </si>
  <si>
    <t>0.163</t>
    <phoneticPr fontId="2"/>
  </si>
  <si>
    <t>11.60</t>
    <phoneticPr fontId="2"/>
  </si>
  <si>
    <t>928.21</t>
    <phoneticPr fontId="2"/>
  </si>
  <si>
    <t>1,044.23</t>
    <phoneticPr fontId="2"/>
  </si>
  <si>
    <t>107.00</t>
    <phoneticPr fontId="2"/>
  </si>
  <si>
    <t>0.77</t>
    <phoneticPr fontId="2"/>
  </si>
  <si>
    <t>15.7</t>
    <phoneticPr fontId="2"/>
  </si>
  <si>
    <t>496</t>
    <phoneticPr fontId="2"/>
  </si>
  <si>
    <t>7.35</t>
    <phoneticPr fontId="2"/>
  </si>
  <si>
    <t>124.4</t>
    <phoneticPr fontId="2"/>
  </si>
  <si>
    <t>0.158</t>
    <phoneticPr fontId="2"/>
  </si>
  <si>
    <t>11.86</t>
    <phoneticPr fontId="2"/>
  </si>
  <si>
    <t>949.12</t>
    <phoneticPr fontId="2"/>
  </si>
  <si>
    <t>1,067.76</t>
    <phoneticPr fontId="2"/>
  </si>
  <si>
    <t>95.50</t>
    <phoneticPr fontId="2"/>
  </si>
  <si>
    <t>508</t>
    <phoneticPr fontId="2"/>
  </si>
  <si>
    <t>8.71</t>
    <phoneticPr fontId="2"/>
  </si>
  <si>
    <t>145.7</t>
    <phoneticPr fontId="2"/>
  </si>
  <si>
    <t>35.3</t>
    <phoneticPr fontId="2"/>
  </si>
  <si>
    <t>0.314</t>
    <phoneticPr fontId="2"/>
  </si>
  <si>
    <t>大出　悠貫</t>
    <phoneticPr fontId="2"/>
  </si>
  <si>
    <t>2018/04/10</t>
    <phoneticPr fontId="2"/>
  </si>
  <si>
    <t>2026/04/22</t>
    <phoneticPr fontId="2"/>
  </si>
  <si>
    <t>12.14</t>
    <phoneticPr fontId="2"/>
  </si>
  <si>
    <t>971.36</t>
    <phoneticPr fontId="2"/>
  </si>
  <si>
    <t>1,092.78</t>
    <phoneticPr fontId="2"/>
  </si>
  <si>
    <t>88.50</t>
    <phoneticPr fontId="2"/>
  </si>
  <si>
    <t>9.30</t>
    <phoneticPr fontId="2"/>
  </si>
  <si>
    <t>459</t>
    <phoneticPr fontId="2"/>
  </si>
  <si>
    <t>7.62</t>
    <phoneticPr fontId="2"/>
  </si>
  <si>
    <t>131.3</t>
    <phoneticPr fontId="2"/>
  </si>
  <si>
    <t>16.4</t>
    <phoneticPr fontId="2"/>
  </si>
  <si>
    <t>0.222</t>
    <phoneticPr fontId="2"/>
  </si>
  <si>
    <t>15.6</t>
    <phoneticPr fontId="2"/>
  </si>
  <si>
    <t>大出　隆佑</t>
    <phoneticPr fontId="2"/>
  </si>
  <si>
    <t>2014/10/26</t>
    <phoneticPr fontId="2"/>
  </si>
  <si>
    <t>バスケットボール、野球</t>
    <phoneticPr fontId="2"/>
  </si>
  <si>
    <t>13.93</t>
    <phoneticPr fontId="2"/>
  </si>
  <si>
    <t>1,115.05</t>
    <phoneticPr fontId="2"/>
  </si>
  <si>
    <t>1,254.44</t>
    <phoneticPr fontId="2"/>
  </si>
  <si>
    <t>658</t>
    <phoneticPr fontId="2"/>
  </si>
  <si>
    <t>145.6</t>
    <phoneticPr fontId="2"/>
  </si>
  <si>
    <t>36.2</t>
    <phoneticPr fontId="2"/>
  </si>
  <si>
    <t>31.0</t>
    <phoneticPr fontId="2"/>
  </si>
  <si>
    <t>1.28</t>
    <phoneticPr fontId="2"/>
  </si>
  <si>
    <t>205</t>
    <phoneticPr fontId="2"/>
  </si>
  <si>
    <t>209</t>
    <phoneticPr fontId="2"/>
  </si>
  <si>
    <t>11.19</t>
    <phoneticPr fontId="2"/>
  </si>
  <si>
    <t>895.66</t>
    <phoneticPr fontId="2"/>
  </si>
  <si>
    <t>1,007.62</t>
    <phoneticPr fontId="2"/>
  </si>
  <si>
    <t>81.80</t>
    <phoneticPr fontId="2"/>
  </si>
  <si>
    <t>7.00</t>
    <phoneticPr fontId="2"/>
  </si>
  <si>
    <t>140.7</t>
    <phoneticPr fontId="2"/>
  </si>
  <si>
    <t>0.167</t>
    <phoneticPr fontId="2"/>
  </si>
  <si>
    <t>大貫　那緒</t>
    <phoneticPr fontId="2"/>
  </si>
  <si>
    <t>2012/11/12</t>
    <phoneticPr fontId="2"/>
  </si>
  <si>
    <t>14.56</t>
    <phoneticPr fontId="2"/>
  </si>
  <si>
    <t>1,165.26</t>
    <phoneticPr fontId="2"/>
  </si>
  <si>
    <t>1,310.92</t>
    <phoneticPr fontId="2"/>
  </si>
  <si>
    <t>631</t>
    <phoneticPr fontId="2"/>
  </si>
  <si>
    <t>6.21</t>
    <phoneticPr fontId="2"/>
  </si>
  <si>
    <t>151.8</t>
    <phoneticPr fontId="2"/>
  </si>
  <si>
    <t>49.3</t>
    <phoneticPr fontId="2"/>
  </si>
  <si>
    <t>28.1</t>
    <phoneticPr fontId="2"/>
  </si>
  <si>
    <t>14.54</t>
    <phoneticPr fontId="2"/>
  </si>
  <si>
    <t>1,163.31</t>
    <phoneticPr fontId="2"/>
  </si>
  <si>
    <t>1,308.72</t>
    <phoneticPr fontId="2"/>
  </si>
  <si>
    <t>84.30</t>
    <phoneticPr fontId="2"/>
  </si>
  <si>
    <t>705</t>
    <phoneticPr fontId="2"/>
  </si>
  <si>
    <t>157.6</t>
    <phoneticPr fontId="2"/>
  </si>
  <si>
    <t>35.6</t>
    <phoneticPr fontId="2"/>
  </si>
  <si>
    <t>34.6</t>
    <phoneticPr fontId="2"/>
  </si>
  <si>
    <t>1.49</t>
    <phoneticPr fontId="2"/>
  </si>
  <si>
    <t>121</t>
    <phoneticPr fontId="2"/>
  </si>
  <si>
    <t>13.11</t>
    <phoneticPr fontId="2"/>
  </si>
  <si>
    <t>1,048.90</t>
    <phoneticPr fontId="2"/>
  </si>
  <si>
    <t>1,180.01</t>
    <phoneticPr fontId="2"/>
  </si>
  <si>
    <t>-58.30</t>
    <phoneticPr fontId="2"/>
  </si>
  <si>
    <t>22.90</t>
    <phoneticPr fontId="2"/>
  </si>
  <si>
    <t>505</t>
    <phoneticPr fontId="2"/>
  </si>
  <si>
    <t>7.09</t>
    <phoneticPr fontId="2"/>
  </si>
  <si>
    <t>161.7</t>
    <phoneticPr fontId="2"/>
  </si>
  <si>
    <t>54.1</t>
    <phoneticPr fontId="2"/>
  </si>
  <si>
    <t>20.9</t>
    <phoneticPr fontId="2"/>
  </si>
  <si>
    <t>0.221</t>
    <phoneticPr fontId="2"/>
  </si>
  <si>
    <t>0.81</t>
    <phoneticPr fontId="2"/>
  </si>
  <si>
    <t>14.41</t>
    <phoneticPr fontId="2"/>
  </si>
  <si>
    <t>1,153.21</t>
    <phoneticPr fontId="2"/>
  </si>
  <si>
    <t>1,297.37</t>
    <phoneticPr fontId="2"/>
  </si>
  <si>
    <t>103.00</t>
    <phoneticPr fontId="2"/>
  </si>
  <si>
    <t>587</t>
    <phoneticPr fontId="2"/>
  </si>
  <si>
    <t>144.6</t>
    <phoneticPr fontId="2"/>
  </si>
  <si>
    <t>19.47</t>
    <phoneticPr fontId="2"/>
  </si>
  <si>
    <t>1,558.12</t>
    <phoneticPr fontId="2"/>
  </si>
  <si>
    <t>1,752.88</t>
    <phoneticPr fontId="2"/>
  </si>
  <si>
    <t>587.10</t>
    <phoneticPr fontId="2"/>
  </si>
  <si>
    <t>-48.30</t>
    <phoneticPr fontId="2"/>
  </si>
  <si>
    <t>439</t>
    <phoneticPr fontId="2"/>
  </si>
  <si>
    <t>7.55</t>
    <phoneticPr fontId="2"/>
  </si>
  <si>
    <t>133.3</t>
    <phoneticPr fontId="2"/>
  </si>
  <si>
    <t>19.9</t>
    <phoneticPr fontId="2"/>
  </si>
  <si>
    <t>0.231</t>
    <phoneticPr fontId="2"/>
  </si>
  <si>
    <t>0.58</t>
    <phoneticPr fontId="2"/>
  </si>
  <si>
    <t>13.36</t>
    <phoneticPr fontId="2"/>
  </si>
  <si>
    <t>1,069.28</t>
    <phoneticPr fontId="2"/>
  </si>
  <si>
    <t>1,202.94</t>
    <phoneticPr fontId="2"/>
  </si>
  <si>
    <t>95.80</t>
    <phoneticPr fontId="2"/>
  </si>
  <si>
    <t>8.60</t>
    <phoneticPr fontId="2"/>
  </si>
  <si>
    <t>110</t>
    <phoneticPr fontId="2"/>
  </si>
  <si>
    <t>6.92</t>
    <phoneticPr fontId="2"/>
  </si>
  <si>
    <t>149.7</t>
    <phoneticPr fontId="2"/>
  </si>
  <si>
    <t>25.0</t>
    <phoneticPr fontId="2"/>
  </si>
  <si>
    <t>14.14</t>
    <phoneticPr fontId="2"/>
  </si>
  <si>
    <t>1,131.66</t>
    <phoneticPr fontId="2"/>
  </si>
  <si>
    <t>1,273.11</t>
    <phoneticPr fontId="2"/>
  </si>
  <si>
    <t>677</t>
    <phoneticPr fontId="2"/>
  </si>
  <si>
    <t>154.3</t>
    <phoneticPr fontId="2"/>
  </si>
  <si>
    <t>45.9</t>
    <phoneticPr fontId="2"/>
  </si>
  <si>
    <t>32.6</t>
    <phoneticPr fontId="2"/>
  </si>
  <si>
    <t>1.97</t>
    <phoneticPr fontId="2"/>
  </si>
  <si>
    <t>2026/04/25</t>
    <phoneticPr fontId="2"/>
  </si>
  <si>
    <t>10:10～11:30</t>
    <phoneticPr fontId="2"/>
  </si>
  <si>
    <t>13.77</t>
    <phoneticPr fontId="2"/>
  </si>
  <si>
    <t>1,102.33</t>
    <phoneticPr fontId="2"/>
  </si>
  <si>
    <t>1,240.12</t>
    <phoneticPr fontId="2"/>
  </si>
  <si>
    <t>73.60</t>
    <phoneticPr fontId="2"/>
  </si>
  <si>
    <t>601</t>
    <phoneticPr fontId="2"/>
  </si>
  <si>
    <t>143.4</t>
    <phoneticPr fontId="2"/>
  </si>
  <si>
    <t>0.254</t>
    <phoneticPr fontId="2"/>
  </si>
  <si>
    <t>15.5</t>
    <phoneticPr fontId="2"/>
  </si>
  <si>
    <t>0.61</t>
    <phoneticPr fontId="2"/>
  </si>
  <si>
    <t>12.87</t>
    <phoneticPr fontId="2"/>
  </si>
  <si>
    <t>1,029.73</t>
    <phoneticPr fontId="2"/>
  </si>
  <si>
    <t>1,158.45</t>
    <phoneticPr fontId="2"/>
  </si>
  <si>
    <t>101.10</t>
    <phoneticPr fontId="2"/>
  </si>
  <si>
    <t>629</t>
    <phoneticPr fontId="2"/>
  </si>
  <si>
    <t>7.17</t>
    <phoneticPr fontId="2"/>
  </si>
  <si>
    <t>136.7</t>
    <phoneticPr fontId="2"/>
  </si>
  <si>
    <t>31.2</t>
    <phoneticPr fontId="2"/>
  </si>
  <si>
    <t>柴田　浩幸</t>
    <phoneticPr fontId="2"/>
  </si>
  <si>
    <t>2016/04/22</t>
    <phoneticPr fontId="2"/>
  </si>
  <si>
    <t>12.58</t>
    <phoneticPr fontId="2"/>
  </si>
  <si>
    <t>1,006.90</t>
    <phoneticPr fontId="2"/>
  </si>
  <si>
    <t>1,132.76</t>
    <phoneticPr fontId="2"/>
  </si>
  <si>
    <t>90.00</t>
    <phoneticPr fontId="2"/>
  </si>
  <si>
    <t>9.50</t>
    <phoneticPr fontId="2"/>
  </si>
  <si>
    <t>266</t>
    <phoneticPr fontId="2"/>
  </si>
  <si>
    <t>7.57</t>
    <phoneticPr fontId="2"/>
  </si>
  <si>
    <t>137.4</t>
    <phoneticPr fontId="2"/>
  </si>
  <si>
    <t>0.223</t>
    <phoneticPr fontId="2"/>
  </si>
  <si>
    <t>14.7</t>
    <phoneticPr fontId="2"/>
  </si>
  <si>
    <t>15.96</t>
    <phoneticPr fontId="2"/>
  </si>
  <si>
    <t>1,277.44</t>
    <phoneticPr fontId="2"/>
  </si>
  <si>
    <t>1,437.12</t>
    <phoneticPr fontId="2"/>
  </si>
  <si>
    <t>23.10</t>
    <phoneticPr fontId="2"/>
  </si>
  <si>
    <t>1.20</t>
    <phoneticPr fontId="2"/>
  </si>
  <si>
    <t>26.9</t>
    <phoneticPr fontId="2"/>
  </si>
  <si>
    <t>623</t>
    <phoneticPr fontId="2"/>
  </si>
  <si>
    <t>5.39</t>
    <phoneticPr fontId="2"/>
  </si>
  <si>
    <t>165.4</t>
    <phoneticPr fontId="2"/>
  </si>
  <si>
    <t>50.3</t>
    <phoneticPr fontId="2"/>
  </si>
  <si>
    <t>39.7</t>
    <phoneticPr fontId="2"/>
  </si>
  <si>
    <t>37.1</t>
    <phoneticPr fontId="2"/>
  </si>
  <si>
    <t>13.91</t>
    <phoneticPr fontId="2"/>
  </si>
  <si>
    <t>1,113.56</t>
    <phoneticPr fontId="2"/>
  </si>
  <si>
    <t>1,252.75</t>
    <phoneticPr fontId="2"/>
  </si>
  <si>
    <t>51.40</t>
    <phoneticPr fontId="2"/>
  </si>
  <si>
    <t>10.10</t>
    <phoneticPr fontId="2"/>
  </si>
  <si>
    <t>517</t>
    <phoneticPr fontId="2"/>
  </si>
  <si>
    <t>6.93</t>
    <phoneticPr fontId="2"/>
  </si>
  <si>
    <t>14.07</t>
    <phoneticPr fontId="2"/>
  </si>
  <si>
    <t>1,126.30</t>
    <phoneticPr fontId="2"/>
  </si>
  <si>
    <t>1,267.09</t>
    <phoneticPr fontId="2"/>
  </si>
  <si>
    <t>92.20</t>
    <phoneticPr fontId="2"/>
  </si>
  <si>
    <t>655</t>
    <phoneticPr fontId="2"/>
  </si>
  <si>
    <t>6.58</t>
    <phoneticPr fontId="2"/>
  </si>
  <si>
    <t>37.0</t>
    <phoneticPr fontId="2"/>
  </si>
  <si>
    <t>0.183</t>
    <phoneticPr fontId="2"/>
  </si>
  <si>
    <t>16.3</t>
    <phoneticPr fontId="2"/>
  </si>
  <si>
    <t>14.39</t>
    <phoneticPr fontId="2"/>
  </si>
  <si>
    <t>1,151.88</t>
    <phoneticPr fontId="2"/>
  </si>
  <si>
    <t>1,295.87</t>
    <phoneticPr fontId="2"/>
  </si>
  <si>
    <t>109.00</t>
    <phoneticPr fontId="2"/>
  </si>
  <si>
    <t>534</t>
    <phoneticPr fontId="2"/>
  </si>
  <si>
    <t>5.74</t>
    <phoneticPr fontId="2"/>
  </si>
  <si>
    <t>158.2</t>
    <phoneticPr fontId="2"/>
  </si>
  <si>
    <t>63.7</t>
    <phoneticPr fontId="2"/>
  </si>
  <si>
    <t>29.9</t>
    <phoneticPr fontId="2"/>
  </si>
  <si>
    <t>1.76</t>
    <phoneticPr fontId="2"/>
  </si>
  <si>
    <t>62</t>
    <phoneticPr fontId="2"/>
  </si>
  <si>
    <t>12.86</t>
    <phoneticPr fontId="2"/>
  </si>
  <si>
    <t>1,029.03</t>
    <phoneticPr fontId="2"/>
  </si>
  <si>
    <t>1,157.66</t>
    <phoneticPr fontId="2"/>
  </si>
  <si>
    <t>62.10</t>
    <phoneticPr fontId="2"/>
  </si>
  <si>
    <t>11.40</t>
    <phoneticPr fontId="2"/>
  </si>
  <si>
    <t>492</t>
    <phoneticPr fontId="2"/>
  </si>
  <si>
    <t>7.89</t>
    <phoneticPr fontId="2"/>
  </si>
  <si>
    <t>140.4</t>
    <phoneticPr fontId="2"/>
  </si>
  <si>
    <t>40.7</t>
    <phoneticPr fontId="2"/>
  </si>
  <si>
    <t>15.2</t>
    <phoneticPr fontId="2"/>
  </si>
  <si>
    <t>15.8</t>
    <phoneticPr fontId="2"/>
  </si>
  <si>
    <t>9.7</t>
    <phoneticPr fontId="2"/>
  </si>
  <si>
    <t>0.39</t>
    <phoneticPr fontId="2"/>
  </si>
  <si>
    <t>11.33</t>
    <phoneticPr fontId="2"/>
  </si>
  <si>
    <t>907.16</t>
    <phoneticPr fontId="2"/>
  </si>
  <si>
    <t>1,020.56</t>
    <phoneticPr fontId="2"/>
  </si>
  <si>
    <t>64.00</t>
    <phoneticPr fontId="2"/>
  </si>
  <si>
    <t>392</t>
    <phoneticPr fontId="2"/>
  </si>
  <si>
    <t>121.1</t>
    <phoneticPr fontId="2"/>
  </si>
  <si>
    <t>114</t>
    <phoneticPr fontId="2"/>
  </si>
  <si>
    <t>14.00</t>
    <phoneticPr fontId="2"/>
  </si>
  <si>
    <t>1,120.62</t>
    <phoneticPr fontId="2"/>
  </si>
  <si>
    <t>1,260.70</t>
    <phoneticPr fontId="2"/>
  </si>
  <si>
    <t>110.70</t>
    <phoneticPr fontId="2"/>
  </si>
  <si>
    <t>627</t>
    <phoneticPr fontId="2"/>
  </si>
  <si>
    <t>94</t>
    <phoneticPr fontId="2"/>
  </si>
  <si>
    <t>153.4</t>
    <phoneticPr fontId="2"/>
  </si>
  <si>
    <t>43.1</t>
    <phoneticPr fontId="2"/>
  </si>
  <si>
    <t>0.187</t>
    <phoneticPr fontId="2"/>
  </si>
  <si>
    <t>13.85</t>
    <phoneticPr fontId="2"/>
  </si>
  <si>
    <t>1,108.18</t>
    <phoneticPr fontId="2"/>
  </si>
  <si>
    <t>1,246.70</t>
    <phoneticPr fontId="2"/>
  </si>
  <si>
    <t>113.10</t>
    <phoneticPr fontId="2"/>
  </si>
  <si>
    <t>491</t>
    <phoneticPr fontId="2"/>
  </si>
  <si>
    <t>6.49</t>
    <phoneticPr fontId="2"/>
  </si>
  <si>
    <t>141.0</t>
    <phoneticPr fontId="2"/>
  </si>
  <si>
    <t>34.9</t>
    <phoneticPr fontId="2"/>
  </si>
  <si>
    <t>富田　竣介</t>
    <phoneticPr fontId="2"/>
  </si>
  <si>
    <t>2014/07/26</t>
    <phoneticPr fontId="2"/>
  </si>
  <si>
    <t>11.12</t>
    <phoneticPr fontId="2"/>
  </si>
  <si>
    <t>890.14</t>
    <phoneticPr fontId="2"/>
  </si>
  <si>
    <t>1,001.41</t>
    <phoneticPr fontId="2"/>
  </si>
  <si>
    <t>-26.34</t>
    <phoneticPr fontId="2"/>
  </si>
  <si>
    <t>23.00</t>
    <phoneticPr fontId="2"/>
  </si>
  <si>
    <t>23.1</t>
    <phoneticPr fontId="2"/>
  </si>
  <si>
    <t>551</t>
    <phoneticPr fontId="2"/>
  </si>
  <si>
    <t>7.32</t>
    <phoneticPr fontId="2"/>
  </si>
  <si>
    <t>152.2</t>
    <phoneticPr fontId="2"/>
  </si>
  <si>
    <t>48.3</t>
    <phoneticPr fontId="2"/>
  </si>
  <si>
    <t>成田　睦生</t>
    <phoneticPr fontId="2"/>
  </si>
  <si>
    <t>2015/01/19</t>
    <phoneticPr fontId="2"/>
  </si>
  <si>
    <t>201</t>
    <phoneticPr fontId="2"/>
  </si>
  <si>
    <t>13.50</t>
    <phoneticPr fontId="2"/>
  </si>
  <si>
    <t>1,080.69</t>
    <phoneticPr fontId="2"/>
  </si>
  <si>
    <t>1,215.77</t>
    <phoneticPr fontId="2"/>
  </si>
  <si>
    <t>121.13</t>
    <phoneticPr fontId="2"/>
  </si>
  <si>
    <t>6.03</t>
    <phoneticPr fontId="2"/>
  </si>
  <si>
    <t>588</t>
    <phoneticPr fontId="2"/>
  </si>
  <si>
    <t>143.6</t>
    <phoneticPr fontId="2"/>
  </si>
  <si>
    <t>33.6</t>
    <phoneticPr fontId="2"/>
  </si>
  <si>
    <t>151</t>
    <phoneticPr fontId="2"/>
  </si>
  <si>
    <t>1,041.29</t>
    <phoneticPr fontId="2"/>
  </si>
  <si>
    <t>1,171.45</t>
    <phoneticPr fontId="2"/>
  </si>
  <si>
    <t>67.40</t>
    <phoneticPr fontId="2"/>
  </si>
  <si>
    <t>10.60</t>
    <phoneticPr fontId="2"/>
  </si>
  <si>
    <t>7.06</t>
    <phoneticPr fontId="2"/>
  </si>
  <si>
    <t>25.6</t>
    <phoneticPr fontId="2"/>
  </si>
  <si>
    <t>1,048.47</t>
    <phoneticPr fontId="2"/>
  </si>
  <si>
    <t>1,179.53</t>
    <phoneticPr fontId="2"/>
  </si>
  <si>
    <t>523</t>
    <phoneticPr fontId="2"/>
  </si>
  <si>
    <t>32.0</t>
    <phoneticPr fontId="2"/>
  </si>
  <si>
    <t>31.5</t>
    <phoneticPr fontId="2"/>
  </si>
  <si>
    <t>1.23</t>
    <phoneticPr fontId="2"/>
  </si>
  <si>
    <t>西村　剛</t>
    <phoneticPr fontId="2"/>
  </si>
  <si>
    <t>2016/10/15</t>
    <phoneticPr fontId="2"/>
  </si>
  <si>
    <t>13:30～14:50</t>
    <phoneticPr fontId="2"/>
  </si>
  <si>
    <t>14.84</t>
    <phoneticPr fontId="2"/>
  </si>
  <si>
    <t>1,187.93</t>
    <phoneticPr fontId="2"/>
  </si>
  <si>
    <t>1,336.42</t>
    <phoneticPr fontId="2"/>
  </si>
  <si>
    <t>74.70</t>
    <phoneticPr fontId="2"/>
  </si>
  <si>
    <t>607</t>
    <phoneticPr fontId="2"/>
  </si>
  <si>
    <t>7.54</t>
    <phoneticPr fontId="2"/>
  </si>
  <si>
    <t>133.8</t>
    <phoneticPr fontId="2"/>
  </si>
  <si>
    <t>13.95</t>
    <phoneticPr fontId="2"/>
  </si>
  <si>
    <t>1,116.73</t>
    <phoneticPr fontId="2"/>
  </si>
  <si>
    <t>1,256.32</t>
    <phoneticPr fontId="2"/>
  </si>
  <si>
    <t>86.10</t>
    <phoneticPr fontId="2"/>
  </si>
  <si>
    <t>632</t>
    <phoneticPr fontId="2"/>
  </si>
  <si>
    <t>6.22</t>
    <phoneticPr fontId="2"/>
  </si>
  <si>
    <t>141.2</t>
    <phoneticPr fontId="2"/>
  </si>
  <si>
    <t>37.4</t>
    <phoneticPr fontId="2"/>
  </si>
  <si>
    <t>0.198</t>
    <phoneticPr fontId="2"/>
  </si>
  <si>
    <t>143</t>
    <phoneticPr fontId="2"/>
  </si>
  <si>
    <t>13.41</t>
    <phoneticPr fontId="2"/>
  </si>
  <si>
    <t>1,073.49</t>
    <phoneticPr fontId="2"/>
  </si>
  <si>
    <t>1,207.68</t>
    <phoneticPr fontId="2"/>
  </si>
  <si>
    <t>7.50</t>
    <phoneticPr fontId="2"/>
  </si>
  <si>
    <t>530</t>
    <phoneticPr fontId="2"/>
  </si>
  <si>
    <t>6.67</t>
    <phoneticPr fontId="2"/>
  </si>
  <si>
    <t>144.1</t>
    <phoneticPr fontId="2"/>
  </si>
  <si>
    <t>32.9</t>
    <phoneticPr fontId="2"/>
  </si>
  <si>
    <t>12.78</t>
    <phoneticPr fontId="2"/>
  </si>
  <si>
    <t>1,022.43</t>
    <phoneticPr fontId="2"/>
  </si>
  <si>
    <t>1,150.23</t>
    <phoneticPr fontId="2"/>
  </si>
  <si>
    <t>142.1</t>
    <phoneticPr fontId="2"/>
  </si>
  <si>
    <t>0.210</t>
    <phoneticPr fontId="2"/>
  </si>
  <si>
    <t>11.53</t>
    <phoneticPr fontId="2"/>
  </si>
  <si>
    <t>922.47</t>
    <phoneticPr fontId="2"/>
  </si>
  <si>
    <t>1,037.77</t>
    <phoneticPr fontId="2"/>
  </si>
  <si>
    <t>130.00</t>
    <phoneticPr fontId="2"/>
  </si>
  <si>
    <t>0.67</t>
    <phoneticPr fontId="2"/>
  </si>
  <si>
    <t>19.1</t>
    <phoneticPr fontId="2"/>
  </si>
  <si>
    <t>429</t>
    <phoneticPr fontId="2"/>
  </si>
  <si>
    <t>7.46</t>
    <phoneticPr fontId="2"/>
  </si>
  <si>
    <t>124.8</t>
    <phoneticPr fontId="2"/>
  </si>
  <si>
    <t>0.196</t>
    <phoneticPr fontId="2"/>
  </si>
  <si>
    <t>13.02</t>
    <phoneticPr fontId="2"/>
  </si>
  <si>
    <t>1,042.39</t>
    <phoneticPr fontId="2"/>
  </si>
  <si>
    <t>1,172.69</t>
    <phoneticPr fontId="2"/>
  </si>
  <si>
    <t>113.00</t>
    <phoneticPr fontId="2"/>
  </si>
  <si>
    <t>19.8</t>
    <phoneticPr fontId="2"/>
  </si>
  <si>
    <t>489</t>
    <phoneticPr fontId="2"/>
  </si>
  <si>
    <t>7.69</t>
    <phoneticPr fontId="2"/>
  </si>
  <si>
    <t>141.8</t>
    <phoneticPr fontId="2"/>
  </si>
  <si>
    <t>36.9</t>
    <phoneticPr fontId="2"/>
  </si>
  <si>
    <t>0.214</t>
    <phoneticPr fontId="2"/>
  </si>
  <si>
    <t>13.7</t>
    <phoneticPr fontId="2"/>
  </si>
  <si>
    <t>堀越　悠太郎</t>
    <phoneticPr fontId="2"/>
  </si>
  <si>
    <t>2011/04/28</t>
    <phoneticPr fontId="2"/>
  </si>
  <si>
    <t>14.72</t>
    <phoneticPr fontId="2"/>
  </si>
  <si>
    <t>1,178.29</t>
    <phoneticPr fontId="2"/>
  </si>
  <si>
    <t>1,325.57</t>
    <phoneticPr fontId="2"/>
  </si>
  <si>
    <t>67.50</t>
    <phoneticPr fontId="2"/>
  </si>
  <si>
    <t>7.41</t>
    <phoneticPr fontId="2"/>
  </si>
  <si>
    <t>163.0</t>
    <phoneticPr fontId="2"/>
  </si>
  <si>
    <t>60.2</t>
    <phoneticPr fontId="2"/>
  </si>
  <si>
    <t>14.60</t>
    <phoneticPr fontId="2"/>
  </si>
  <si>
    <t>1,168.17</t>
    <phoneticPr fontId="2"/>
  </si>
  <si>
    <t>1,314.20</t>
    <phoneticPr fontId="2"/>
  </si>
  <si>
    <t>58.40</t>
    <phoneticPr fontId="2"/>
  </si>
  <si>
    <t>1.21</t>
    <phoneticPr fontId="2"/>
  </si>
  <si>
    <t>606</t>
    <phoneticPr fontId="2"/>
  </si>
  <si>
    <t>6.54</t>
    <phoneticPr fontId="2"/>
  </si>
  <si>
    <t>140.5</t>
    <phoneticPr fontId="2"/>
  </si>
  <si>
    <t>0.188</t>
    <phoneticPr fontId="2"/>
  </si>
  <si>
    <t>210</t>
    <phoneticPr fontId="2"/>
  </si>
  <si>
    <t>1,082.03</t>
    <phoneticPr fontId="2"/>
  </si>
  <si>
    <t>1,217.29</t>
    <phoneticPr fontId="2"/>
  </si>
  <si>
    <t>121.91</t>
    <phoneticPr fontId="2"/>
  </si>
  <si>
    <t>6.57</t>
    <phoneticPr fontId="2"/>
  </si>
  <si>
    <t>506</t>
    <phoneticPr fontId="2"/>
  </si>
  <si>
    <t>7.79</t>
    <phoneticPr fontId="2"/>
  </si>
  <si>
    <t>37.7</t>
    <phoneticPr fontId="2"/>
  </si>
  <si>
    <t>25.8</t>
    <phoneticPr fontId="2"/>
  </si>
  <si>
    <t>12.01</t>
    <phoneticPr fontId="2"/>
  </si>
  <si>
    <t>960.99</t>
    <phoneticPr fontId="2"/>
  </si>
  <si>
    <t>1,081.11</t>
    <phoneticPr fontId="2"/>
  </si>
  <si>
    <t>86.00</t>
    <phoneticPr fontId="2"/>
  </si>
  <si>
    <t>15.9</t>
    <phoneticPr fontId="2"/>
  </si>
  <si>
    <t>123.0</t>
    <phoneticPr fontId="2"/>
  </si>
  <si>
    <t>12.6</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</si>
</sst>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000"/>
  </numFmts>
  <fonts count="24" x14ac:knownFonts="1">
    <font>
      <sz val="11"/>
      <color theme="1"/>
      <name val="游ゴシック"/>
      <family val="2"/>
      <charset val="128"/>
      <scheme val="minor"/>
    </font>
    <font>
      <sz val="11"/>
      <color theme="1"/>
      <name val="游ゴシック"/>
      <family val="3"/>
      <charset val="128"/>
    </font>
    <font>
      <sz val="6"/>
      <name val="游ゴシック"/>
      <family val="2"/>
      <charset val="128"/>
      <scheme val="minor"/>
    </font>
    <font>
      <sz val="11"/>
      <color theme="0"/>
      <name val="游ゴシック"/>
      <family val="2"/>
      <charset val="128"/>
      <scheme val="minor"/>
    </font>
    <font>
      <b/>
      <sz val="16"/>
      <color theme="1"/>
      <name val="游ゴシック"/>
      <family val="3"/>
      <charset val="128"/>
      <scheme val="minor"/>
    </font>
    <font>
      <b/>
      <sz val="6"/>
      <color theme="1"/>
      <name val="游ゴシック"/>
      <family val="3"/>
      <charset val="128"/>
      <scheme val="minor"/>
    </font>
    <font>
      <sz val="6"/>
      <color theme="1"/>
      <name val="游ゴシック"/>
      <family val="3"/>
      <charset val="128"/>
      <scheme val="minor"/>
    </font>
    <font>
      <b/>
      <sz val="11"/>
      <color theme="1"/>
      <name val="游ゴシック"/>
      <family val="3"/>
      <charset val="128"/>
      <scheme val="minor"/>
    </font>
    <font>
      <b/>
      <sz val="9"/>
      <color theme="1"/>
      <name val="游ゴシック"/>
      <family val="3"/>
      <charset val="128"/>
      <scheme val="minor"/>
    </font>
    <font>
      <b/>
      <sz val="18"/>
      <color theme="1"/>
      <name val="游ゴシック"/>
      <family val="3"/>
      <charset val="128"/>
      <scheme val="minor"/>
    </font>
    <font>
      <sz val="11"/>
      <color theme="0"/>
      <name val="游ゴシック"/>
      <family val="3"/>
      <charset val="128"/>
      <scheme val="minor"/>
    </font>
    <font>
      <sz val="10"/>
      <color theme="1"/>
      <name val="HGP創英角ｺﾞｼｯｸUB"/>
      <family val="3"/>
      <charset val="128"/>
    </font>
    <font>
      <sz val="22"/>
      <color theme="1"/>
      <name val="HGP創英角ｺﾞｼｯｸUB"/>
      <family val="3"/>
      <charset val="128"/>
    </font>
    <font>
      <sz val="28"/>
      <color theme="1"/>
      <name val="Noto Sans JP Black"/>
      <family val="3"/>
      <charset val="128"/>
    </font>
    <font>
      <b/>
      <sz val="14"/>
      <color theme="1"/>
      <name val="游ゴシック"/>
      <family val="3"/>
      <charset val="128"/>
      <scheme val="minor"/>
    </font>
    <font>
      <b/>
      <sz val="10"/>
      <color theme="1"/>
      <name val="游ゴシック"/>
      <family val="3"/>
      <charset val="128"/>
      <scheme val="minor"/>
    </font>
    <font>
      <sz val="11"/>
      <color theme="1"/>
      <name val="游ゴシック"/>
      <family val="3"/>
      <charset val="128"/>
      <scheme val="minor"/>
    </font>
    <font>
      <sz val="8"/>
      <color theme="1"/>
      <name val="游ゴシック"/>
      <family val="2"/>
      <charset val="128"/>
      <scheme val="minor"/>
    </font>
    <font>
      <sz val="14"/>
      <color theme="1"/>
      <name val="Noto Sans JP Black"/>
      <family val="3"/>
      <charset val="128"/>
    </font>
    <font>
      <b/>
      <sz val="28"/>
      <color theme="1"/>
      <name val="Noto Sans JP Black"/>
      <family val="3"/>
      <charset val="128"/>
    </font>
    <font>
      <sz val="6"/>
      <color theme="0"/>
      <name val="游ゴシック"/>
      <family val="3"/>
      <charset val="128"/>
      <scheme val="minor"/>
    </font>
    <font>
      <b/>
      <sz val="28"/>
      <color rgb="FF000000"/>
      <name val="游ゴシック"/>
      <family val="3"/>
      <charset val="128"/>
    </font>
    <font>
      <sz val="28"/>
      <color rgb="FF000000"/>
      <name val="游ゴシック"/>
      <family val="3"/>
      <charset val="128"/>
    </font>
    <font>
      <b/>
      <sz val="18"/>
      <color theme="0"/>
      <name val="游ゴシック"/>
      <family val="3"/>
      <charset val="128"/>
      <scheme val="minor"/>
    </font>
  </fonts>
  <fills count="1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rgb="FFCCCCFF"/>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rgb="FFFFFF99"/>
        <bgColor indexed="64"/>
      </patternFill>
    </fill>
    <fill>
      <patternFill patternType="solid">
        <fgColor theme="2" tint="-9.9978637043366805E-2"/>
        <bgColor indexed="64"/>
      </patternFill>
    </fill>
    <fill>
      <patternFill patternType="solid">
        <fgColor rgb="FFE2EFDA"/>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theme="1"/>
      </bottom>
      <diagonal/>
    </border>
    <border>
      <left/>
      <right/>
      <top style="medium">
        <color indexed="64"/>
      </top>
      <bottom style="thin">
        <color theme="1"/>
      </bottom>
      <diagonal/>
    </border>
    <border>
      <left/>
      <right style="thin">
        <color theme="1"/>
      </right>
      <top style="medium">
        <color indexed="64"/>
      </top>
      <bottom style="thin">
        <color theme="1"/>
      </bottom>
      <diagonal/>
    </border>
    <border>
      <left style="thin">
        <color theme="1"/>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theme="1"/>
      </right>
      <top/>
      <bottom/>
      <diagonal/>
    </border>
    <border>
      <left style="thin">
        <color theme="1"/>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diagonal/>
    </border>
    <border>
      <left/>
      <right style="thin">
        <color theme="1"/>
      </right>
      <top/>
      <bottom style="medium">
        <color indexed="64"/>
      </bottom>
      <diagonal/>
    </border>
    <border>
      <left style="thin">
        <color theme="1"/>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theme="1"/>
      </right>
      <top style="medium">
        <color indexed="64"/>
      </top>
      <bottom style="medium">
        <color indexed="64"/>
      </bottom>
      <diagonal/>
    </border>
    <border>
      <left style="thin">
        <color theme="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thin">
        <color indexed="64"/>
      </left>
      <right style="medium">
        <color indexed="64"/>
      </right>
      <top style="thin">
        <color indexed="64"/>
      </top>
      <bottom style="thin">
        <color theme="1"/>
      </bottom>
      <diagonal/>
    </border>
    <border>
      <left style="medium">
        <color indexed="64"/>
      </left>
      <right style="medium">
        <color indexed="64"/>
      </right>
      <top style="thin">
        <color theme="1"/>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thin">
        <color indexed="64"/>
      </bottom>
      <diagonal/>
    </border>
    <border>
      <left style="dotted">
        <color indexed="64"/>
      </left>
      <right style="dotted">
        <color indexed="64"/>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dotted">
        <color indexed="64"/>
      </left>
      <right style="medium">
        <color indexed="64"/>
      </right>
      <top/>
      <bottom style="thin">
        <color indexed="64"/>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style="dotted">
        <color indexed="64"/>
      </right>
      <top/>
      <bottom/>
      <diagonal/>
    </border>
    <border>
      <left/>
      <right style="dotted">
        <color indexed="64"/>
      </right>
      <top/>
      <bottom style="medium">
        <color indexed="64"/>
      </bottom>
      <diagonal/>
    </border>
    <border>
      <left style="dotted">
        <color indexed="64"/>
      </left>
      <right/>
      <top/>
      <bottom style="medium">
        <color indexed="64"/>
      </bottom>
      <diagonal/>
    </border>
    <border>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thin">
        <color indexed="64"/>
      </left>
      <right/>
      <top style="medium">
        <color indexed="64"/>
      </top>
      <bottom style="thin">
        <color indexed="64"/>
      </bottom>
      <diagonal/>
    </border>
    <border>
      <left/>
      <right style="dotted">
        <color indexed="64"/>
      </right>
      <top style="medium">
        <color indexed="64"/>
      </top>
      <bottom/>
      <diagonal/>
    </border>
    <border>
      <left style="dotted">
        <color indexed="64"/>
      </left>
      <right/>
      <top style="medium">
        <color indexed="64"/>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79">
    <xf numFmtId="0" fontId="0" fillId="0" borderId="0" xfId="0">
      <alignment vertical="center"/>
    </xf>
    <xf numFmtId="0" fontId="1" fillId="0" borderId="0" xfId="0" applyFont="1">
      <alignment vertical="center"/>
    </xf>
    <xf numFmtId="0" fontId="1" fillId="0" borderId="1" xfId="0" applyFont="1" applyBorder="1" applyAlignment="1">
      <alignment horizontal="center" vertical="center"/>
    </xf>
    <xf numFmtId="0" fontId="1" fillId="0" borderId="1" xfId="0" applyFont="1" applyBorder="1">
      <alignment vertical="center"/>
    </xf>
    <xf numFmtId="0" fontId="4" fillId="0" borderId="0" xfId="0" applyFont="1">
      <alignment vertical="center"/>
    </xf>
    <xf numFmtId="0" fontId="5" fillId="0" borderId="8" xfId="0" applyFont="1" applyBorder="1" applyAlignment="1">
      <alignment horizontal="center" vertical="center"/>
    </xf>
    <xf numFmtId="0" fontId="6" fillId="0" borderId="0" xfId="0" applyFont="1" applyAlignment="1">
      <alignment horizontal="center" vertical="center"/>
    </xf>
    <xf numFmtId="0" fontId="5" fillId="0" borderId="17" xfId="0" applyFont="1" applyBorder="1" applyAlignment="1">
      <alignment horizontal="center" vertical="center" wrapText="1"/>
    </xf>
    <xf numFmtId="0" fontId="0" fillId="0" borderId="18" xfId="0" applyBorder="1">
      <alignment vertical="center"/>
    </xf>
    <xf numFmtId="0" fontId="5" fillId="3" borderId="19" xfId="0" applyFont="1" applyFill="1" applyBorder="1" applyAlignment="1">
      <alignment horizontal="center" vertical="center"/>
    </xf>
    <xf numFmtId="0" fontId="5" fillId="3" borderId="20" xfId="0" applyFont="1" applyFill="1" applyBorder="1" applyAlignment="1">
      <alignment horizontal="center" vertical="center" wrapText="1"/>
    </xf>
    <xf numFmtId="0" fontId="7" fillId="3" borderId="21" xfId="0" applyFont="1" applyFill="1" applyBorder="1" applyAlignment="1">
      <alignment horizontal="center" vertical="center"/>
    </xf>
    <xf numFmtId="0" fontId="8" fillId="3" borderId="22" xfId="0" applyFont="1" applyFill="1" applyBorder="1" applyAlignment="1">
      <alignment horizontal="center" vertical="center"/>
    </xf>
    <xf numFmtId="0" fontId="8" fillId="0" borderId="1" xfId="0" applyFont="1" applyBorder="1" applyAlignment="1">
      <alignment horizontal="center" vertical="center"/>
    </xf>
    <xf numFmtId="0" fontId="8" fillId="0" borderId="23" xfId="0" applyFont="1" applyBorder="1" applyAlignment="1">
      <alignment horizontal="center" vertical="center"/>
    </xf>
    <xf numFmtId="0" fontId="8" fillId="0" borderId="0" xfId="0" applyFont="1" applyAlignment="1">
      <alignment horizontal="center" vertical="center"/>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8" fillId="0" borderId="26" xfId="0" applyFont="1" applyBorder="1" applyAlignment="1">
      <alignment horizontal="center" vertical="center"/>
    </xf>
    <xf numFmtId="0" fontId="7" fillId="3" borderId="27" xfId="0" applyFont="1" applyFill="1" applyBorder="1" applyAlignment="1">
      <alignment horizontal="center" vertical="center"/>
    </xf>
    <xf numFmtId="0" fontId="8" fillId="3" borderId="28" xfId="0" applyFont="1" applyFill="1" applyBorder="1" applyAlignment="1">
      <alignment horizontal="center" vertical="center"/>
    </xf>
    <xf numFmtId="0" fontId="8" fillId="0" borderId="30" xfId="0" applyFont="1" applyBorder="1" applyAlignment="1">
      <alignment horizontal="center" vertical="center"/>
    </xf>
    <xf numFmtId="176" fontId="8" fillId="0" borderId="1" xfId="0" applyNumberFormat="1" applyFont="1" applyBorder="1" applyAlignment="1">
      <alignment horizontal="center" vertical="center"/>
    </xf>
    <xf numFmtId="0" fontId="8" fillId="0" borderId="3" xfId="0" applyFont="1" applyBorder="1" applyAlignment="1">
      <alignment horizontal="center" vertical="center"/>
    </xf>
    <xf numFmtId="0" fontId="8" fillId="0" borderId="0" xfId="0" quotePrefix="1" applyFont="1" applyAlignment="1">
      <alignment horizontal="center" vertical="center"/>
    </xf>
    <xf numFmtId="0" fontId="7" fillId="3" borderId="31" xfId="0" applyFont="1" applyFill="1" applyBorder="1" applyAlignment="1">
      <alignment horizontal="center" vertical="center"/>
    </xf>
    <xf numFmtId="0" fontId="8" fillId="3" borderId="32" xfId="0" applyFont="1" applyFill="1" applyBorder="1" applyAlignment="1">
      <alignment horizontal="center" vertical="center"/>
    </xf>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3" borderId="37" xfId="0" applyFont="1" applyFill="1" applyBorder="1" applyAlignment="1">
      <alignment horizontal="center" vertical="center"/>
    </xf>
    <xf numFmtId="0" fontId="8" fillId="0" borderId="38" xfId="0" applyFont="1" applyBorder="1" applyAlignment="1">
      <alignment horizontal="center" vertical="center"/>
    </xf>
    <xf numFmtId="0" fontId="7" fillId="3" borderId="40" xfId="0" applyFont="1" applyFill="1" applyBorder="1" applyAlignment="1">
      <alignment horizontal="center" vertical="center"/>
    </xf>
    <xf numFmtId="0" fontId="8" fillId="3" borderId="41" xfId="0" applyFont="1" applyFill="1" applyBorder="1" applyAlignment="1">
      <alignment horizontal="center" vertical="center"/>
    </xf>
    <xf numFmtId="0" fontId="8" fillId="0" borderId="42" xfId="0" applyFont="1" applyBorder="1" applyAlignment="1">
      <alignment horizontal="center" vertical="center"/>
    </xf>
    <xf numFmtId="0" fontId="8" fillId="0" borderId="43" xfId="0" applyFont="1" applyBorder="1" applyAlignment="1">
      <alignment horizontal="center" vertical="center"/>
    </xf>
    <xf numFmtId="0" fontId="8" fillId="0" borderId="45" xfId="0" applyFont="1" applyBorder="1" applyAlignment="1">
      <alignment horizontal="center" vertical="center"/>
    </xf>
    <xf numFmtId="0" fontId="8" fillId="0" borderId="46" xfId="0" applyFont="1" applyBorder="1" applyAlignment="1">
      <alignment horizontal="center" vertical="center"/>
    </xf>
    <xf numFmtId="0" fontId="7" fillId="3" borderId="47" xfId="0" applyFont="1" applyFill="1" applyBorder="1" applyAlignment="1">
      <alignment horizontal="center" vertical="center"/>
    </xf>
    <xf numFmtId="0" fontId="8" fillId="0" borderId="48" xfId="0" applyFont="1" applyBorder="1" applyAlignment="1">
      <alignment horizontal="center" vertical="center"/>
    </xf>
    <xf numFmtId="0" fontId="8" fillId="0" borderId="49" xfId="0" applyFont="1" applyBorder="1" applyAlignment="1">
      <alignment horizontal="center" vertical="center"/>
    </xf>
    <xf numFmtId="0" fontId="8" fillId="0" borderId="50" xfId="0" applyFont="1" applyBorder="1" applyAlignment="1">
      <alignment horizontal="center" vertical="center"/>
    </xf>
    <xf numFmtId="0" fontId="8" fillId="0" borderId="4" xfId="0" applyFont="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3" fillId="0" borderId="0" xfId="0" applyFont="1">
      <alignment vertical="center"/>
    </xf>
    <xf numFmtId="0" fontId="10" fillId="0" borderId="0" xfId="0" applyFont="1">
      <alignment vertical="center"/>
    </xf>
    <xf numFmtId="0" fontId="7" fillId="0" borderId="0" xfId="0" applyFont="1">
      <alignment vertical="center"/>
    </xf>
    <xf numFmtId="0" fontId="7" fillId="5" borderId="8" xfId="0" applyFont="1" applyFill="1" applyBorder="1" applyAlignment="1">
      <alignment horizontal="center" vertical="center"/>
    </xf>
    <xf numFmtId="0" fontId="15" fillId="5" borderId="67" xfId="0" applyFont="1" applyFill="1" applyBorder="1" applyAlignment="1">
      <alignment horizontal="center" vertical="center"/>
    </xf>
    <xf numFmtId="0" fontId="15" fillId="5" borderId="68" xfId="0" applyFont="1" applyFill="1" applyBorder="1" applyAlignment="1">
      <alignment horizontal="center" vertical="center"/>
    </xf>
    <xf numFmtId="0" fontId="7" fillId="6" borderId="8" xfId="0" applyFont="1" applyFill="1" applyBorder="1" applyAlignment="1">
      <alignment horizontal="center" vertical="center"/>
    </xf>
    <xf numFmtId="0" fontId="0" fillId="0" borderId="38" xfId="0" applyBorder="1" applyAlignment="1">
      <alignment horizontal="center" vertical="center"/>
    </xf>
    <xf numFmtId="0" fontId="0" fillId="0" borderId="26" xfId="0" applyBorder="1" applyAlignment="1">
      <alignment horizontal="center" vertical="center"/>
    </xf>
    <xf numFmtId="0" fontId="0" fillId="0" borderId="25" xfId="0" applyBorder="1" applyAlignment="1">
      <alignment horizontal="center" vertical="center"/>
    </xf>
    <xf numFmtId="0" fontId="16" fillId="0" borderId="70" xfId="0" applyFont="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48"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17" fillId="0" borderId="0" xfId="0" applyFont="1">
      <alignment vertical="center"/>
    </xf>
    <xf numFmtId="0" fontId="7" fillId="7" borderId="12" xfId="0" applyFont="1" applyFill="1" applyBorder="1" applyAlignment="1">
      <alignment horizontal="center" vertical="center"/>
    </xf>
    <xf numFmtId="0" fontId="15" fillId="7" borderId="76" xfId="0" applyFont="1" applyFill="1" applyBorder="1" applyAlignment="1">
      <alignment horizontal="center" vertical="center"/>
    </xf>
    <xf numFmtId="0" fontId="15" fillId="7" borderId="19" xfId="0" applyFont="1" applyFill="1" applyBorder="1" applyAlignment="1">
      <alignment horizontal="center" vertical="center"/>
    </xf>
    <xf numFmtId="0" fontId="15" fillId="7" borderId="20" xfId="0" applyFont="1" applyFill="1" applyBorder="1" applyAlignment="1">
      <alignment horizontal="center" vertical="center"/>
    </xf>
    <xf numFmtId="0" fontId="13" fillId="0" borderId="79" xfId="0" applyFont="1" applyBorder="1">
      <alignment vertical="center"/>
    </xf>
    <xf numFmtId="0" fontId="13" fillId="0" borderId="78" xfId="0" applyFont="1" applyBorder="1">
      <alignment vertical="center"/>
    </xf>
    <xf numFmtId="0" fontId="13" fillId="0" borderId="80" xfId="0" applyFont="1" applyBorder="1">
      <alignment vertical="center"/>
    </xf>
    <xf numFmtId="0" fontId="13" fillId="0" borderId="85" xfId="0" applyFont="1" applyBorder="1">
      <alignment vertical="center"/>
    </xf>
    <xf numFmtId="0" fontId="13" fillId="0" borderId="10" xfId="0" applyFont="1" applyBorder="1">
      <alignment vertical="center"/>
    </xf>
    <xf numFmtId="0" fontId="13" fillId="0" borderId="0" xfId="0" applyFont="1">
      <alignment vertical="center"/>
    </xf>
    <xf numFmtId="0" fontId="7" fillId="8" borderId="12" xfId="0" applyFont="1" applyFill="1" applyBorder="1" applyAlignment="1">
      <alignment horizontal="center" vertical="center"/>
    </xf>
    <xf numFmtId="0" fontId="15" fillId="8" borderId="76"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6" fillId="0" borderId="39" xfId="0" applyFont="1" applyBorder="1" applyAlignment="1">
      <alignment horizontal="center" vertical="center"/>
    </xf>
    <xf numFmtId="0" fontId="16" fillId="0" borderId="29" xfId="0" applyFont="1" applyBorder="1" applyAlignment="1">
      <alignment horizontal="center" vertical="center"/>
    </xf>
    <xf numFmtId="0" fontId="15" fillId="0" borderId="0" xfId="0" applyFont="1" applyAlignment="1">
      <alignment horizontal="center" vertical="center"/>
    </xf>
    <xf numFmtId="0" fontId="10" fillId="0" borderId="0" xfId="0" applyFont="1" applyAlignment="1">
      <alignment horizontal="center" vertical="center"/>
    </xf>
    <xf numFmtId="0" fontId="0" fillId="0" borderId="0" xfId="0" applyAlignment="1">
      <alignment horizontal="center" vertical="center"/>
    </xf>
    <xf numFmtId="0" fontId="16" fillId="0" borderId="44" xfId="0" applyFont="1" applyBorder="1" applyAlignment="1">
      <alignment horizontal="center" vertical="center"/>
    </xf>
    <xf numFmtId="0" fontId="7" fillId="3" borderId="12" xfId="0" applyFont="1" applyFill="1" applyBorder="1" applyAlignment="1">
      <alignment horizontal="center" vertical="center"/>
    </xf>
    <xf numFmtId="0" fontId="15" fillId="3" borderId="76" xfId="0" applyFont="1" applyFill="1" applyBorder="1" applyAlignment="1">
      <alignment horizontal="center" vertical="center"/>
    </xf>
    <xf numFmtId="0" fontId="15" fillId="3" borderId="19" xfId="0" applyFont="1" applyFill="1" applyBorder="1" applyAlignment="1">
      <alignment horizontal="center" vertical="center"/>
    </xf>
    <xf numFmtId="0" fontId="13" fillId="0" borderId="2" xfId="0" applyFont="1" applyBorder="1">
      <alignment vertical="center"/>
    </xf>
    <xf numFmtId="0" fontId="13" fillId="0" borderId="91" xfId="0" applyFont="1" applyBorder="1">
      <alignment vertical="center"/>
    </xf>
    <xf numFmtId="0" fontId="7" fillId="9" borderId="0" xfId="0" applyFont="1" applyFill="1" applyAlignment="1">
      <alignment horizontal="left" vertical="center"/>
    </xf>
    <xf numFmtId="0" fontId="0" fillId="0" borderId="8" xfId="0"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0" fillId="0" borderId="21" xfId="0" applyBorder="1" applyAlignment="1">
      <alignment horizontal="center" vertical="center"/>
    </xf>
    <xf numFmtId="0" fontId="0" fillId="0" borderId="27" xfId="0" applyBorder="1" applyAlignment="1">
      <alignment horizontal="center" vertical="center"/>
    </xf>
    <xf numFmtId="0" fontId="0" fillId="0" borderId="3" xfId="0" applyBorder="1" applyAlignment="1">
      <alignment horizontal="center"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47" xfId="0" applyBorder="1" applyAlignment="1">
      <alignment horizontal="center" vertical="center"/>
    </xf>
    <xf numFmtId="0" fontId="0" fillId="0" borderId="49" xfId="0" applyBorder="1" applyAlignment="1">
      <alignment horizontal="center" vertical="center"/>
    </xf>
    <xf numFmtId="0" fontId="0" fillId="0" borderId="31" xfId="0" applyBorder="1" applyAlignment="1">
      <alignment horizontal="center" vertical="center"/>
    </xf>
    <xf numFmtId="0" fontId="0" fillId="0" borderId="33" xfId="0" applyBorder="1" applyAlignment="1">
      <alignment horizontal="center" vertical="center"/>
    </xf>
    <xf numFmtId="0" fontId="0" fillId="0" borderId="36" xfId="0" applyBorder="1" applyAlignment="1">
      <alignment horizontal="center" vertical="center"/>
    </xf>
    <xf numFmtId="0" fontId="0" fillId="0" borderId="34" xfId="0" applyBorder="1" applyAlignment="1">
      <alignment horizontal="center" vertical="center"/>
    </xf>
    <xf numFmtId="14" fontId="8" fillId="0" borderId="24" xfId="0" applyNumberFormat="1" applyFont="1" applyBorder="1" applyAlignment="1">
      <alignment horizontal="center" vertical="center"/>
    </xf>
    <xf numFmtId="14" fontId="8" fillId="0" borderId="30" xfId="0" applyNumberFormat="1" applyFont="1" applyBorder="1" applyAlignment="1">
      <alignment horizontal="center" vertical="center"/>
    </xf>
    <xf numFmtId="1" fontId="8" fillId="0" borderId="25" xfId="0" applyNumberFormat="1" applyFont="1" applyBorder="1" applyAlignment="1">
      <alignment horizontal="center" vertical="center"/>
    </xf>
    <xf numFmtId="1" fontId="8" fillId="0" borderId="1" xfId="0" applyNumberFormat="1" applyFont="1" applyBorder="1" applyAlignment="1">
      <alignment horizontal="center" vertical="center"/>
    </xf>
    <xf numFmtId="1" fontId="8" fillId="0" borderId="36" xfId="0" applyNumberFormat="1" applyFont="1" applyBorder="1" applyAlignment="1">
      <alignment horizontal="center" vertical="center"/>
    </xf>
    <xf numFmtId="1" fontId="8" fillId="0" borderId="46" xfId="0" applyNumberFormat="1" applyFont="1" applyBorder="1" applyAlignment="1">
      <alignment horizontal="center" vertical="center"/>
    </xf>
    <xf numFmtId="1" fontId="8" fillId="0" borderId="4" xfId="0" applyNumberFormat="1" applyFont="1" applyBorder="1" applyAlignment="1">
      <alignment horizontal="center" vertical="center"/>
    </xf>
    <xf numFmtId="14" fontId="8" fillId="0" borderId="35" xfId="0" applyNumberFormat="1" applyFont="1" applyBorder="1" applyAlignment="1">
      <alignment horizontal="center" vertical="center"/>
    </xf>
    <xf numFmtId="14" fontId="6" fillId="0" borderId="0" xfId="0" applyNumberFormat="1" applyFont="1" applyAlignment="1">
      <alignment horizontal="center" vertical="center"/>
    </xf>
    <xf numFmtId="0" fontId="0" fillId="0" borderId="51" xfId="0" applyBorder="1" applyAlignment="1">
      <alignment horizontal="center" vertical="center"/>
    </xf>
    <xf numFmtId="0" fontId="16" fillId="0" borderId="0" xfId="0" applyFont="1">
      <alignment vertical="center"/>
    </xf>
    <xf numFmtId="0" fontId="0" fillId="0" borderId="6" xfId="0" applyBorder="1">
      <alignment vertical="center"/>
    </xf>
    <xf numFmtId="0" fontId="0" fillId="0" borderId="69" xfId="0" applyBorder="1" applyAlignment="1">
      <alignment horizontal="center" vertical="center"/>
    </xf>
    <xf numFmtId="0" fontId="0" fillId="4" borderId="21" xfId="0" applyFill="1" applyBorder="1" applyAlignment="1">
      <alignment horizontal="center" vertical="center"/>
    </xf>
    <xf numFmtId="176" fontId="0" fillId="0" borderId="48" xfId="0" applyNumberFormat="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0" borderId="70" xfId="0" applyBorder="1" applyAlignment="1">
      <alignment horizontal="center" vertical="center"/>
    </xf>
    <xf numFmtId="0" fontId="0" fillId="4" borderId="71" xfId="0" applyFill="1" applyBorder="1" applyAlignment="1">
      <alignment horizontal="center" vertical="center"/>
    </xf>
    <xf numFmtId="0" fontId="0" fillId="0" borderId="72" xfId="0" applyBorder="1" applyAlignment="1">
      <alignment horizontal="center" vertical="center"/>
    </xf>
    <xf numFmtId="0" fontId="0" fillId="0" borderId="65" xfId="0" applyBorder="1" applyAlignment="1">
      <alignment horizontal="center" vertical="center"/>
    </xf>
    <xf numFmtId="0" fontId="0" fillId="4" borderId="73" xfId="0" applyFill="1" applyBorder="1" applyAlignment="1">
      <alignment horizontal="center" vertical="center"/>
    </xf>
    <xf numFmtId="0" fontId="0" fillId="4" borderId="40" xfId="0" applyFill="1" applyBorder="1" applyAlignment="1">
      <alignment horizontal="center" vertical="center"/>
    </xf>
    <xf numFmtId="0" fontId="0" fillId="0" borderId="24" xfId="0" applyBorder="1" applyAlignment="1">
      <alignment horizontal="center" vertical="center"/>
    </xf>
    <xf numFmtId="0" fontId="0" fillId="0" borderId="78" xfId="0" applyBorder="1">
      <alignment vertical="center"/>
    </xf>
    <xf numFmtId="0" fontId="0" fillId="0" borderId="81" xfId="0" applyBorder="1">
      <alignment vertical="center"/>
    </xf>
    <xf numFmtId="0" fontId="0" fillId="0" borderId="79" xfId="0" applyBorder="1">
      <alignment vertical="center"/>
    </xf>
    <xf numFmtId="0" fontId="0" fillId="0" borderId="82" xfId="0" applyBorder="1">
      <alignment vertical="center"/>
    </xf>
    <xf numFmtId="0" fontId="0" fillId="0" borderId="83" xfId="0" applyBorder="1" applyAlignment="1">
      <alignment horizontal="center" vertical="center"/>
    </xf>
    <xf numFmtId="0" fontId="0" fillId="0" borderId="30" xfId="0" applyBorder="1" applyAlignment="1">
      <alignment horizontal="center" vertical="center"/>
    </xf>
    <xf numFmtId="0" fontId="0" fillId="0" borderId="84" xfId="0" applyBorder="1" applyAlignment="1">
      <alignment horizontal="center" vertical="center"/>
    </xf>
    <xf numFmtId="0" fontId="0" fillId="0" borderId="45" xfId="0" applyBorder="1" applyAlignment="1">
      <alignment horizontal="center" vertical="center"/>
    </xf>
    <xf numFmtId="0" fontId="0" fillId="0" borderId="10" xfId="0" applyBorder="1">
      <alignment vertical="center"/>
    </xf>
    <xf numFmtId="0" fontId="0" fillId="0" borderId="85" xfId="0" applyBorder="1">
      <alignment vertical="center"/>
    </xf>
    <xf numFmtId="0" fontId="0" fillId="0" borderId="86" xfId="0" applyBorder="1">
      <alignment vertical="center"/>
    </xf>
    <xf numFmtId="2" fontId="0" fillId="0" borderId="30" xfId="0" applyNumberFormat="1" applyBorder="1" applyAlignment="1">
      <alignment horizontal="center" vertical="center"/>
    </xf>
    <xf numFmtId="0" fontId="16" fillId="0" borderId="0" xfId="0" applyFont="1" applyAlignment="1">
      <alignment horizontal="center" vertical="center"/>
    </xf>
    <xf numFmtId="177" fontId="0" fillId="0" borderId="30" xfId="0" applyNumberFormat="1" applyBorder="1" applyAlignment="1">
      <alignment horizontal="center" vertical="center"/>
    </xf>
    <xf numFmtId="176" fontId="0" fillId="0" borderId="45" xfId="0" applyNumberFormat="1" applyBorder="1" applyAlignment="1">
      <alignment horizontal="center" vertical="center"/>
    </xf>
    <xf numFmtId="0" fontId="0" fillId="0" borderId="89" xfId="0" applyBorder="1">
      <alignment vertical="center"/>
    </xf>
    <xf numFmtId="0" fontId="0" fillId="0" borderId="80" xfId="0" applyBorder="1">
      <alignment vertical="center"/>
    </xf>
    <xf numFmtId="0" fontId="0" fillId="0" borderId="22" xfId="0" applyBorder="1">
      <alignment vertical="center"/>
    </xf>
    <xf numFmtId="0" fontId="0" fillId="0" borderId="90" xfId="0" applyBorder="1">
      <alignment vertical="center"/>
    </xf>
    <xf numFmtId="0" fontId="0" fillId="0" borderId="2" xfId="0" applyBorder="1">
      <alignment vertical="center"/>
    </xf>
    <xf numFmtId="0" fontId="0" fillId="0" borderId="91" xfId="0" applyBorder="1">
      <alignment vertical="center"/>
    </xf>
    <xf numFmtId="0" fontId="0" fillId="0" borderId="28" xfId="0" applyBorder="1">
      <alignment vertical="center"/>
    </xf>
    <xf numFmtId="0" fontId="0" fillId="0" borderId="88" xfId="0" applyBorder="1">
      <alignment vertical="center"/>
    </xf>
    <xf numFmtId="0" fontId="0" fillId="0" borderId="11" xfId="0" applyBorder="1">
      <alignment vertical="center"/>
    </xf>
    <xf numFmtId="0" fontId="0" fillId="0" borderId="0" xfId="0" applyAlignment="1">
      <alignment horizontal="right" vertical="center"/>
    </xf>
    <xf numFmtId="0" fontId="5" fillId="3" borderId="57" xfId="0" applyFont="1" applyFill="1" applyBorder="1" applyAlignment="1">
      <alignment horizontal="center" vertical="center"/>
    </xf>
    <xf numFmtId="0" fontId="5" fillId="3" borderId="56" xfId="0" applyFont="1" applyFill="1" applyBorder="1" applyAlignment="1">
      <alignment horizontal="center" vertical="center"/>
    </xf>
    <xf numFmtId="0" fontId="4" fillId="4" borderId="21" xfId="0" applyFont="1" applyFill="1" applyBorder="1" applyAlignment="1">
      <alignment horizontal="center" vertical="center"/>
    </xf>
    <xf numFmtId="0" fontId="4" fillId="4" borderId="40" xfId="0" applyFont="1" applyFill="1" applyBorder="1" applyAlignment="1">
      <alignment horizontal="center" vertical="center"/>
    </xf>
    <xf numFmtId="0" fontId="20" fillId="0" borderId="0" xfId="0" applyFont="1">
      <alignment vertical="center"/>
    </xf>
    <xf numFmtId="0" fontId="20" fillId="0" borderId="0" xfId="0" applyFont="1" applyAlignment="1">
      <alignment horizontal="center" vertical="center"/>
    </xf>
    <xf numFmtId="0" fontId="7" fillId="7" borderId="8" xfId="0" applyFont="1" applyFill="1" applyBorder="1" applyAlignment="1">
      <alignment horizontal="center" vertical="center"/>
    </xf>
    <xf numFmtId="0" fontId="7" fillId="8" borderId="8" xfId="0" applyFont="1" applyFill="1" applyBorder="1" applyAlignment="1">
      <alignment horizontal="center" vertical="center"/>
    </xf>
    <xf numFmtId="0" fontId="7" fillId="3" borderId="8" xfId="0" applyFont="1" applyFill="1" applyBorder="1" applyAlignment="1">
      <alignment horizontal="center" vertical="center"/>
    </xf>
    <xf numFmtId="0" fontId="15" fillId="10" borderId="20" xfId="0" applyFont="1" applyFill="1" applyBorder="1" applyAlignment="1">
      <alignment horizontal="center" vertical="center"/>
    </xf>
    <xf numFmtId="0" fontId="16" fillId="0" borderId="24" xfId="0" applyFont="1" applyBorder="1" applyAlignment="1">
      <alignment horizontal="center" vertical="center"/>
    </xf>
    <xf numFmtId="0" fontId="16" fillId="0" borderId="25" xfId="0" applyFont="1" applyBorder="1" applyAlignment="1">
      <alignment horizontal="center" vertical="center"/>
    </xf>
    <xf numFmtId="0" fontId="16" fillId="0" borderId="26" xfId="0" applyFont="1" applyBorder="1" applyAlignment="1">
      <alignment horizontal="center" vertical="center"/>
    </xf>
    <xf numFmtId="0" fontId="16" fillId="0" borderId="30" xfId="0" applyFont="1" applyBorder="1" applyAlignment="1">
      <alignment horizontal="center" vertical="center"/>
    </xf>
    <xf numFmtId="0" fontId="16" fillId="0" borderId="1" xfId="0" applyFont="1" applyBorder="1" applyAlignment="1">
      <alignment horizontal="center" vertical="center"/>
    </xf>
    <xf numFmtId="0" fontId="16" fillId="0" borderId="23"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6" fillId="0" borderId="43" xfId="0" applyFont="1" applyBorder="1" applyAlignment="1">
      <alignment horizontal="center" vertical="center"/>
    </xf>
    <xf numFmtId="0" fontId="7" fillId="0" borderId="0" xfId="0" applyFont="1" applyAlignment="1">
      <alignment horizontal="center" vertical="center"/>
    </xf>
    <xf numFmtId="0" fontId="23" fillId="0" borderId="0" xfId="0" applyFont="1" applyAlignment="1">
      <alignment horizontal="center" vertical="center"/>
    </xf>
    <xf numFmtId="0" fontId="8" fillId="0" borderId="23" xfId="0" applyFont="1" applyBorder="1" applyAlignment="1">
      <alignment horizontal="center" vertical="center" wrapText="1"/>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1" fillId="0" borderId="95" xfId="0" applyFont="1" applyBorder="1" applyAlignment="1">
      <alignment horizontal="center" vertical="center"/>
    </xf>
    <xf numFmtId="0" fontId="1" fillId="0" borderId="3" xfId="0" applyFont="1" applyBorder="1" applyAlignment="1">
      <alignment horizontal="center" vertical="center"/>
    </xf>
    <xf numFmtId="14" fontId="7" fillId="0" borderId="52" xfId="0" applyNumberFormat="1" applyFont="1" applyBorder="1" applyAlignment="1">
      <alignment horizontal="right" vertical="center"/>
    </xf>
    <xf numFmtId="14" fontId="7" fillId="0" borderId="53" xfId="0" applyNumberFormat="1" applyFont="1" applyBorder="1" applyAlignment="1">
      <alignment horizontal="right" vertical="center"/>
    </xf>
    <xf numFmtId="0" fontId="7" fillId="0" borderId="54" xfId="0" applyFont="1" applyBorder="1" applyAlignment="1">
      <alignment horizontal="center" vertical="center"/>
    </xf>
    <xf numFmtId="0" fontId="7" fillId="0" borderId="55" xfId="0" applyFont="1" applyBorder="1" applyAlignment="1">
      <alignment horizontal="center" vertical="center"/>
    </xf>
    <xf numFmtId="0" fontId="7" fillId="0" borderId="37" xfId="0" applyFont="1" applyBorder="1" applyAlignment="1">
      <alignment horizontal="center" vertical="center"/>
    </xf>
    <xf numFmtId="0" fontId="11" fillId="0" borderId="5" xfId="0" applyFont="1" applyBorder="1" applyAlignment="1">
      <alignment horizontal="center" vertical="center"/>
    </xf>
    <xf numFmtId="0" fontId="11" fillId="0" borderId="56" xfId="0" applyFont="1" applyBorder="1" applyAlignment="1">
      <alignment horizontal="center" vertical="center"/>
    </xf>
    <xf numFmtId="0" fontId="11" fillId="0" borderId="17" xfId="0" applyFont="1" applyBorder="1" applyAlignment="1">
      <alignment horizontal="center" vertical="center"/>
    </xf>
    <xf numFmtId="0" fontId="11" fillId="0" borderId="61" xfId="0" applyFont="1" applyBorder="1" applyAlignment="1">
      <alignment horizontal="center" vertical="center"/>
    </xf>
    <xf numFmtId="0" fontId="11" fillId="0" borderId="9" xfId="0" applyFont="1" applyBorder="1" applyAlignment="1">
      <alignment horizontal="center" vertical="center"/>
    </xf>
    <xf numFmtId="0" fontId="11" fillId="0" borderId="65" xfId="0" applyFont="1" applyBorder="1" applyAlignment="1">
      <alignment horizontal="center" vertical="center"/>
    </xf>
    <xf numFmtId="1" fontId="12" fillId="0" borderId="57" xfId="0" applyNumberFormat="1" applyFont="1" applyBorder="1" applyAlignment="1">
      <alignment horizontal="left" vertical="center"/>
    </xf>
    <xf numFmtId="1" fontId="12" fillId="0" borderId="7" xfId="0" applyNumberFormat="1" applyFont="1" applyBorder="1" applyAlignment="1">
      <alignment horizontal="left" vertical="center"/>
    </xf>
    <xf numFmtId="1" fontId="12" fillId="0" borderId="62" xfId="0" applyNumberFormat="1" applyFont="1" applyBorder="1" applyAlignment="1">
      <alignment horizontal="left" vertical="center"/>
    </xf>
    <xf numFmtId="1" fontId="12" fillId="0" borderId="18" xfId="0" applyNumberFormat="1" applyFont="1" applyBorder="1" applyAlignment="1">
      <alignment horizontal="left" vertical="center"/>
    </xf>
    <xf numFmtId="1" fontId="12" fillId="0" borderId="66" xfId="0" applyNumberFormat="1" applyFont="1" applyBorder="1" applyAlignment="1">
      <alignment horizontal="left" vertical="center"/>
    </xf>
    <xf numFmtId="1" fontId="12" fillId="0" borderId="11" xfId="0" applyNumberFormat="1" applyFont="1" applyBorder="1" applyAlignment="1">
      <alignment horizontal="left" vertical="center"/>
    </xf>
    <xf numFmtId="0" fontId="4" fillId="4" borderId="17" xfId="0" applyFont="1" applyFill="1" applyBorder="1" applyAlignment="1">
      <alignment horizontal="center" vertical="center"/>
    </xf>
    <xf numFmtId="0" fontId="4" fillId="4" borderId="0" xfId="0" applyFont="1" applyFill="1" applyAlignment="1">
      <alignment horizontal="center" vertical="center"/>
    </xf>
    <xf numFmtId="0" fontId="4" fillId="4" borderId="58"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63" xfId="0" applyFont="1" applyFill="1" applyBorder="1" applyAlignment="1">
      <alignment horizontal="center" vertical="center"/>
    </xf>
    <xf numFmtId="0" fontId="14" fillId="0" borderId="59" xfId="0" applyFont="1" applyBorder="1" applyAlignment="1">
      <alignment horizontal="center" vertical="center"/>
    </xf>
    <xf numFmtId="0" fontId="14" fillId="0" borderId="60" xfId="0" applyFont="1" applyBorder="1" applyAlignment="1">
      <alignment horizontal="center" vertical="center"/>
    </xf>
    <xf numFmtId="0" fontId="14" fillId="0" borderId="32" xfId="0" applyFont="1" applyBorder="1" applyAlignment="1">
      <alignment horizontal="center" vertical="center"/>
    </xf>
    <xf numFmtId="0" fontId="14" fillId="0" borderId="64" xfId="0" applyFont="1" applyBorder="1" applyAlignment="1">
      <alignment horizontal="center" vertical="center"/>
    </xf>
    <xf numFmtId="0" fontId="14" fillId="0" borderId="10" xfId="0" applyFont="1" applyBorder="1" applyAlignment="1">
      <alignment horizontal="center" vertical="center"/>
    </xf>
    <xf numFmtId="0" fontId="14" fillId="0" borderId="11" xfId="0" applyFont="1" applyBorder="1" applyAlignment="1">
      <alignment horizontal="center" vertical="center"/>
    </xf>
    <xf numFmtId="0" fontId="0" fillId="0" borderId="50"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20" fillId="0" borderId="10" xfId="0" applyFont="1" applyBorder="1" applyAlignment="1">
      <alignment horizontal="center" vertical="center"/>
    </xf>
    <xf numFmtId="0" fontId="7" fillId="6" borderId="12" xfId="0" applyFont="1" applyFill="1" applyBorder="1" applyAlignment="1">
      <alignment horizontal="center" vertical="center"/>
    </xf>
    <xf numFmtId="0" fontId="7" fillId="6" borderId="13"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77" xfId="0" applyFont="1" applyFill="1" applyBorder="1" applyAlignment="1">
      <alignment horizontal="center" vertical="center"/>
    </xf>
    <xf numFmtId="0" fontId="0" fillId="0" borderId="92"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vertical="center"/>
    </xf>
    <xf numFmtId="0" fontId="0" fillId="0" borderId="38" xfId="0"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10" xfId="0" applyFont="1" applyBorder="1" applyAlignment="1">
      <alignment horizontal="left" vertical="center"/>
    </xf>
    <xf numFmtId="0" fontId="9" fillId="0" borderId="11" xfId="0" applyFont="1" applyBorder="1" applyAlignment="1">
      <alignment horizontal="left" vertical="center"/>
    </xf>
    <xf numFmtId="0" fontId="18" fillId="0" borderId="93" xfId="0" applyFont="1" applyBorder="1" applyAlignment="1">
      <alignment horizontal="center" vertical="center"/>
    </xf>
    <xf numFmtId="0" fontId="18" fillId="0" borderId="88" xfId="0" applyFont="1" applyBorder="1" applyAlignment="1">
      <alignment horizontal="center" vertical="center"/>
    </xf>
    <xf numFmtId="0" fontId="19" fillId="0" borderId="94" xfId="0" applyFont="1" applyBorder="1" applyAlignment="1">
      <alignment horizontal="center" vertical="center"/>
    </xf>
    <xf numFmtId="0" fontId="19" fillId="0" borderId="7" xfId="0" applyFont="1" applyBorder="1" applyAlignment="1">
      <alignment horizontal="center" vertical="center"/>
    </xf>
    <xf numFmtId="0" fontId="19" fillId="0" borderId="89" xfId="0" applyFont="1" applyBorder="1" applyAlignment="1">
      <alignment horizontal="center" vertical="center"/>
    </xf>
    <xf numFmtId="0" fontId="19" fillId="0" borderId="11" xfId="0" applyFont="1" applyBorder="1" applyAlignment="1">
      <alignment horizontal="center" vertical="center"/>
    </xf>
    <xf numFmtId="0" fontId="13" fillId="0" borderId="94" xfId="0" applyFont="1" applyBorder="1" applyAlignment="1">
      <alignment horizontal="center" vertical="center"/>
    </xf>
    <xf numFmtId="0" fontId="13" fillId="0" borderId="7" xfId="0" applyFont="1" applyBorder="1" applyAlignment="1">
      <alignment horizontal="center" vertical="center"/>
    </xf>
    <xf numFmtId="0" fontId="13" fillId="0" borderId="89" xfId="0" applyFont="1" applyBorder="1" applyAlignment="1">
      <alignment horizontal="center" vertical="center"/>
    </xf>
    <xf numFmtId="0" fontId="13" fillId="0" borderId="11" xfId="0" applyFont="1" applyBorder="1" applyAlignment="1">
      <alignment horizontal="center" vertical="center"/>
    </xf>
    <xf numFmtId="0" fontId="8" fillId="0" borderId="0" xfId="0" applyFont="1" applyAlignment="1">
      <alignment horizontal="center" vertical="center"/>
    </xf>
    <xf numFmtId="0" fontId="18" fillId="0" borderId="17" xfId="0" applyFont="1" applyBorder="1" applyAlignment="1">
      <alignment horizontal="center" vertical="center"/>
    </xf>
    <xf numFmtId="0" fontId="18" fillId="0" borderId="0" xfId="0" applyFont="1" applyAlignment="1">
      <alignment horizontal="center" vertical="center"/>
    </xf>
    <xf numFmtId="0" fontId="9" fillId="0" borderId="0" xfId="0" applyFont="1" applyAlignment="1">
      <alignment horizontal="left" vertical="center"/>
    </xf>
    <xf numFmtId="0" fontId="9" fillId="0" borderId="18" xfId="0" applyFont="1" applyBorder="1" applyAlignment="1">
      <alignment horizontal="left" vertical="center"/>
    </xf>
    <xf numFmtId="0" fontId="18" fillId="0" borderId="87" xfId="0" applyFont="1" applyBorder="1" applyAlignment="1">
      <alignment horizontal="center" vertical="center"/>
    </xf>
    <xf numFmtId="0" fontId="19" fillId="0" borderId="0" xfId="0" applyFont="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8" fillId="7" borderId="12" xfId="0" applyFont="1" applyFill="1" applyBorder="1" applyAlignment="1">
      <alignment horizontal="center" vertical="center"/>
    </xf>
    <xf numFmtId="0" fontId="8" fillId="7" borderId="14" xfId="0" applyFont="1" applyFill="1" applyBorder="1" applyAlignment="1">
      <alignment horizontal="center" vertical="center"/>
    </xf>
    <xf numFmtId="0" fontId="8" fillId="7" borderId="77" xfId="0" applyFont="1" applyFill="1" applyBorder="1" applyAlignment="1">
      <alignment horizontal="center" vertical="center"/>
    </xf>
    <xf numFmtId="0" fontId="8" fillId="7" borderId="13" xfId="0" applyFont="1" applyFill="1" applyBorder="1" applyAlignment="1">
      <alignment horizontal="center" vertical="center"/>
    </xf>
    <xf numFmtId="0" fontId="8" fillId="8" borderId="12"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77" xfId="0" applyFont="1" applyFill="1" applyBorder="1" applyAlignment="1">
      <alignment horizontal="center" vertical="center"/>
    </xf>
    <xf numFmtId="0" fontId="8" fillId="8" borderId="13" xfId="0" applyFont="1" applyFill="1" applyBorder="1" applyAlignment="1">
      <alignment horizontal="center" vertical="center"/>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17" xfId="0" applyFont="1" applyBorder="1" applyAlignment="1">
      <alignment horizontal="center" vertical="center" wrapText="1"/>
    </xf>
    <xf numFmtId="0" fontId="7" fillId="0" borderId="0" xfId="0" applyFont="1" applyAlignment="1">
      <alignment horizontal="center" vertical="center" wrapText="1"/>
    </xf>
    <xf numFmtId="0" fontId="7" fillId="0" borderId="18" xfId="0" applyFont="1" applyBorder="1" applyAlignment="1">
      <alignment horizontal="center" vertical="center" wrapText="1"/>
    </xf>
    <xf numFmtId="0" fontId="7" fillId="0" borderId="9"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1" xfId="0" applyFont="1" applyBorder="1" applyAlignment="1">
      <alignment horizontal="center" vertical="center" wrapText="1"/>
    </xf>
    <xf numFmtId="0" fontId="8" fillId="10" borderId="12" xfId="0" applyFont="1" applyFill="1" applyBorder="1" applyAlignment="1">
      <alignment horizontal="center" vertical="center"/>
    </xf>
    <xf numFmtId="0" fontId="8" fillId="10" borderId="14" xfId="0" applyFont="1" applyFill="1" applyBorder="1" applyAlignment="1">
      <alignment horizontal="center" vertical="center"/>
    </xf>
    <xf numFmtId="0" fontId="8" fillId="10" borderId="77" xfId="0" applyFont="1" applyFill="1" applyBorder="1" applyAlignment="1">
      <alignment horizontal="center" vertical="center"/>
    </xf>
    <xf numFmtId="0" fontId="8" fillId="10" borderId="13" xfId="0" applyFont="1" applyFill="1" applyBorder="1" applyAlignment="1">
      <alignment horizontal="center" vertical="center"/>
    </xf>
    <xf numFmtId="0" fontId="0" fillId="2" borderId="21" xfId="0" applyFill="1" applyBorder="1" applyAlignment="1">
      <alignment horizontal="center" vertical="center"/>
    </xf>
    <xf numFmtId="0" fontId="0" fillId="2" borderId="27" xfId="0" applyFill="1" applyBorder="1" applyAlignment="1">
      <alignment horizontal="center" vertical="center"/>
    </xf>
    <xf numFmtId="0" fontId="0" fillId="2" borderId="40" xfId="0" applyFill="1" applyBorder="1" applyAlignment="1">
      <alignment horizontal="center" vertical="center"/>
    </xf>
    <xf numFmtId="0" fontId="0" fillId="2" borderId="47" xfId="0" applyFill="1" applyBorder="1" applyAlignment="1">
      <alignment horizontal="center" vertical="center"/>
    </xf>
    <xf numFmtId="0" fontId="0" fillId="2" borderId="31" xfId="0" applyFill="1" applyBorder="1" applyAlignment="1">
      <alignment horizontal="center" vertical="center"/>
    </xf>
  </cellXfs>
  <cellStyles count="1">
    <cellStyle name="標準" xfId="0" builtinId="0"/>
  </cellStyles>
  <dxfs count="131">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rgb="FFFFFF00"/>
        </patternFill>
      </fill>
    </dxf>
  </dxfs>
  <tableStyles count="0" defaultTableStyle="TableStyleMedium2" defaultPivotStyle="PivotStyleLight16"/>
  <colors>
    <mruColors>
      <color rgb="FF000000"/>
      <color rgb="FFE2EFDA"/>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externalLink" Target="externalLinks/externalLink1.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8.102431473651589E-2"/>
          <c:y val="3.6328252939990209E-2"/>
          <c:w val="0.89138017996289276"/>
          <c:h val="0.65492180847868597"/>
        </c:manualLayout>
      </c:layout>
      <c:lineChart>
        <c:grouping val="standard"/>
        <c:varyColors val="0"/>
        <c:ser>
          <c:idx val="5"/>
          <c:order val="0"/>
          <c:tx>
            <c:strRef>
              <c:f>結果シート!$G$10</c:f>
              <c:strCache>
                <c:ptCount val="1"/>
                <c:pt idx="0">
                  <c:v>前回</c:v>
                </c:pt>
              </c:strCache>
            </c:strRef>
          </c:tx>
          <c:spPr>
            <a:ln w="28575" cap="rnd">
              <a:solidFill>
                <a:schemeClr val="accent2">
                  <a:tint val="50000"/>
                </a:schemeClr>
              </a:solidFill>
              <a:round/>
            </a:ln>
            <a:effectLst/>
          </c:spPr>
          <c:marker>
            <c:symbol val="circle"/>
            <c:size val="5"/>
            <c:spPr>
              <a:solidFill>
                <a:schemeClr val="accent2">
                  <a:tint val="50000"/>
                </a:schemeClr>
              </a:solidFill>
              <a:ln w="9525">
                <a:solidFill>
                  <a:schemeClr val="accent2">
                    <a:tint val="50000"/>
                  </a:scheme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(結果シート!$G$11,結果シート!$G$12,結果シート!$G$13,結果シート!$G$14)</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285A-4B79-8E40-1683A8233D20}"/>
            </c:ext>
          </c:extLst>
        </c:ser>
        <c:ser>
          <c:idx val="0"/>
          <c:order val="1"/>
          <c:tx>
            <c:strRef>
              <c:f>結果シート!$E$10</c:f>
              <c:strCache>
                <c:ptCount val="1"/>
                <c:pt idx="0">
                  <c:v>心拍数</c:v>
                </c:pt>
              </c:strCache>
            </c:strRef>
          </c:tx>
          <c:spPr>
            <a:ln w="28575" cap="rnd">
              <a:solidFill>
                <a:schemeClr val="accent2">
                  <a:alpha val="98000"/>
                </a:schemeClr>
              </a:solidFill>
              <a:round/>
            </a:ln>
            <a:effectLst/>
          </c:spPr>
          <c:marker>
            <c:symbol val="square"/>
            <c:size val="6"/>
            <c:spPr>
              <a:solidFill>
                <a:schemeClr val="accent2"/>
              </a:solidFill>
              <a:ln w="9525">
                <a:solidFill>
                  <a:srgbClr val="FFC000">
                    <a:alpha val="96000"/>
                  </a:srgb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結果シート!$E$11:$E$14</c:f>
              <c:numCache>
                <c:formatCode>General</c:formatCode>
                <c:ptCount val="4"/>
                <c:pt idx="0">
                  <c:v>0</c:v>
                </c:pt>
                <c:pt idx="1">
                  <c:v>0</c:v>
                </c:pt>
                <c:pt idx="2">
                  <c:v>0</c:v>
                </c:pt>
                <c:pt idx="3">
                  <c:v>0</c:v>
                </c:pt>
              </c:numCache>
            </c:numRef>
          </c:val>
          <c:smooth val="0"/>
          <c:extLst xmlns:c15="http://schemas.microsoft.com/office/drawing/2012/chart">
            <c:ext xmlns:c16="http://schemas.microsoft.com/office/drawing/2014/chart" uri="{C3380CC4-5D6E-409C-BE32-E72D297353CC}">
              <c16:uniqueId val="{00000001-285A-4B79-8E40-1683A8233D20}"/>
            </c:ext>
          </c:extLst>
        </c:ser>
        <c:dLbls>
          <c:dLblPos val="ctr"/>
          <c:showLegendKey val="0"/>
          <c:showVal val="1"/>
          <c:showCatName val="0"/>
          <c:showSerName val="0"/>
          <c:showPercent val="0"/>
          <c:showBubbleSize val="0"/>
        </c:dLbls>
        <c:marker val="1"/>
        <c:smooth val="0"/>
        <c:axId val="906434511"/>
        <c:axId val="906434991"/>
        <c:extLst/>
      </c:lineChart>
      <c:catAx>
        <c:axId val="90643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991"/>
        <c:crosses val="autoZero"/>
        <c:auto val="1"/>
        <c:lblAlgn val="ctr"/>
        <c:lblOffset val="100"/>
        <c:noMultiLvlLbl val="0"/>
      </c:catAx>
      <c:valAx>
        <c:axId val="906434991"/>
        <c:scaling>
          <c:orientation val="minMax"/>
          <c:max val="22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511"/>
        <c:crosses val="autoZero"/>
        <c:crossBetween val="between"/>
        <c:majorUnit val="5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radarChart>
        <c:radarStyle val="marker"/>
        <c:varyColors val="0"/>
        <c:ser>
          <c:idx val="0"/>
          <c:order val="0"/>
          <c:tx>
            <c:strRef>
              <c:f>結果シート!$C$18</c:f>
              <c:strCache>
                <c:ptCount val="1"/>
                <c:pt idx="0">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結果シート!$A$19:$A$21</c:f>
              <c:strCache>
                <c:ptCount val="3"/>
                <c:pt idx="0">
                  <c:v>最高速度(km/h)</c:v>
                </c:pt>
                <c:pt idx="1">
                  <c:v>速度維持率(%)</c:v>
                </c:pt>
                <c:pt idx="2">
                  <c:v>スプリントスコア</c:v>
                </c:pt>
              </c:strCache>
            </c:strRef>
          </c:cat>
          <c:val>
            <c:numRef>
              <c:f>結果シート!$C$19:$C$21</c:f>
              <c:numCache>
                <c:formatCode>General</c:formatCode>
                <c:ptCount val="3"/>
                <c:pt idx="0">
                  <c:v>0</c:v>
                </c:pt>
                <c:pt idx="1">
                  <c:v>0</c:v>
                </c:pt>
                <c:pt idx="2">
                  <c:v>0</c:v>
                </c:pt>
              </c:numCache>
            </c:numRef>
          </c:val>
          <c:extLst>
            <c:ext xmlns:c16="http://schemas.microsoft.com/office/drawing/2014/chart" uri="{C3380CC4-5D6E-409C-BE32-E72D297353CC}">
              <c16:uniqueId val="{00000000-B6D2-4D44-ADE2-5A2399EC6443}"/>
            </c:ext>
          </c:extLst>
        </c:ser>
        <c:dLbls>
          <c:showLegendKey val="0"/>
          <c:showVal val="0"/>
          <c:showCatName val="0"/>
          <c:showSerName val="0"/>
          <c:showPercent val="0"/>
          <c:showBubbleSize val="0"/>
        </c:dLbls>
        <c:axId val="933325375"/>
        <c:axId val="933322495"/>
      </c:radarChart>
      <c:catAx>
        <c:axId val="93332537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ja-JP"/>
          </a:p>
        </c:txPr>
        <c:crossAx val="933322495"/>
        <c:crosses val="autoZero"/>
        <c:auto val="1"/>
        <c:lblAlgn val="ctr"/>
        <c:lblOffset val="100"/>
        <c:noMultiLvlLbl val="0"/>
      </c:catAx>
      <c:valAx>
        <c:axId val="933322495"/>
        <c:scaling>
          <c:orientation val="minMax"/>
          <c:max val="10"/>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solidFill>
              <a:schemeClr val="accent2">
                <a:lumMod val="20000"/>
                <a:lumOff val="80000"/>
              </a:schemeClr>
            </a:solid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25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3780000"/>
    <a:lstStyle/>
    <a:p>
      <a:pPr>
        <a:defRPr>
          <a:solidFill>
            <a:schemeClr val="dk1"/>
          </a:solidFill>
          <a:latin typeface="+mn-lt"/>
          <a:ea typeface="+mn-ea"/>
          <a:cs typeface="+mn-cs"/>
        </a:defRPr>
      </a:pPr>
      <a:endParaRPr lang="ja-JP"/>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結果シート!$C$26:$C$27</c:f>
              <c:strCache>
                <c:ptCount val="2"/>
                <c:pt idx="0">
                  <c:v>純粋なジャンプ力や切り返しの能力の測定です。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結果シート!$A$28:$A$32</c:f>
              <c:strCache>
                <c:ptCount val="5"/>
                <c:pt idx="0">
                  <c:v>スクワットジャンプ(cm)</c:v>
                </c:pt>
                <c:pt idx="1">
                  <c:v>垂直跳び(cm)</c:v>
                </c:pt>
                <c:pt idx="2">
                  <c:v>ステッピング(回)</c:v>
                </c:pt>
                <c:pt idx="3">
                  <c:v>立ち幅跳び(cm)</c:v>
                </c:pt>
                <c:pt idx="4">
                  <c:v>連続ジャンプ(Rj-Index)</c:v>
                </c:pt>
              </c:strCache>
            </c:strRef>
          </c:cat>
          <c:val>
            <c:numRef>
              <c:f>結果シート!$C$28:$C$32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4C9-41F3-88E3-F9D136AFB5D8}"/>
            </c:ext>
          </c:extLst>
        </c:ser>
        <c:dLbls>
          <c:showLegendKey val="0"/>
          <c:showVal val="0"/>
          <c:showCatName val="0"/>
          <c:showSerName val="0"/>
          <c:showPercent val="0"/>
          <c:showBubbleSize val="0"/>
        </c:dLbls>
        <c:axId val="933310015"/>
        <c:axId val="933306175"/>
        <c:extLst>
          <c:ext xmlns:c15="http://schemas.microsoft.com/office/drawing/2012/chart" uri="{02D57815-91ED-43cb-92C2-25804820EDAC}">
            <c15:filteredRadarSeries>
              <c15:ser>
                <c:idx val="0"/>
                <c:order val="0"/>
                <c:tx>
                  <c:strRef>
                    <c:extLst>
                      <c:ext uri="{02D57815-91ED-43cb-92C2-25804820EDAC}">
                        <c15:formulaRef>
                          <c15:sqref>結果シート!$B$25:$B$27</c15:sqref>
                        </c15:formulaRef>
                      </c:ext>
                    </c:extLst>
                    <c:strCache>
                      <c:ptCount val="3"/>
                      <c:pt idx="1">
                        <c:v>純粋なジャンプ力や切り返しの能力の測定です。</c:v>
                      </c:pt>
                      <c:pt idx="2">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結果シート!$A$28:$A$32</c15:sqref>
                        </c15:formulaRef>
                      </c:ext>
                    </c:extLst>
                    <c:strCache>
                      <c:ptCount val="5"/>
                      <c:pt idx="0">
                        <c:v>スクワットジャンプ(cm)</c:v>
                      </c:pt>
                      <c:pt idx="1">
                        <c:v>垂直跳び(cm)</c:v>
                      </c:pt>
                      <c:pt idx="2">
                        <c:v>ステッピング(回)</c:v>
                      </c:pt>
                      <c:pt idx="3">
                        <c:v>立ち幅跳び(cm)</c:v>
                      </c:pt>
                      <c:pt idx="4">
                        <c:v>連続ジャンプ(Rj-Index)</c:v>
                      </c:pt>
                    </c:strCache>
                  </c:strRef>
                </c:cat>
                <c:val>
                  <c:numRef>
                    <c:extLst>
                      <c:ext uri="{02D57815-91ED-43cb-92C2-25804820EDAC}">
                        <c15:formulaRef>
                          <c15:sqref>結果シート!$B$28:$B$32</c15:sqref>
                        </c15:formulaRef>
                      </c:ext>
                    </c:extLst>
                    <c:numCache>
                      <c:formatCode>General</c:formatCode>
                      <c:ptCount val="5"/>
                      <c:pt idx="0">
                        <c:v>0</c:v>
                      </c:pt>
                      <c:pt idx="1">
                        <c:v>0</c:v>
                      </c:pt>
                      <c:pt idx="2">
                        <c:v>0</c:v>
                      </c:pt>
                      <c:pt idx="3">
                        <c:v>0</c:v>
                      </c:pt>
                      <c:pt idx="4" formatCode="0.00">
                        <c:v>0</c:v>
                      </c:pt>
                    </c:numCache>
                  </c:numRef>
                </c:val>
                <c:extLst>
                  <c:ext xmlns:c16="http://schemas.microsoft.com/office/drawing/2014/chart" uri="{C3380CC4-5D6E-409C-BE32-E72D297353CC}">
                    <c16:uniqueId val="{00000001-64C9-41F3-88E3-F9D136AFB5D8}"/>
                  </c:ext>
                </c:extLst>
              </c15:ser>
            </c15:filteredRadarSeries>
          </c:ext>
        </c:extLst>
      </c:radarChart>
      <c:catAx>
        <c:axId val="93331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800" baseline="0">
                <a:solidFill>
                  <a:schemeClr val="dk1"/>
                </a:solidFill>
                <a:latin typeface="+mn-lt"/>
                <a:ea typeface="+mn-ea"/>
                <a:cs typeface="+mn-cs"/>
              </a:defRPr>
            </a:pPr>
            <a:endParaRPr lang="ja-JP"/>
          </a:p>
        </c:txPr>
        <c:crossAx val="933306175"/>
        <c:crosses val="autoZero"/>
        <c:auto val="1"/>
        <c:lblAlgn val="ctr"/>
        <c:lblOffset val="100"/>
        <c:noMultiLvlLbl val="0"/>
      </c:catAx>
      <c:valAx>
        <c:axId val="933306175"/>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10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結果シート!$C$38:$C$39</c:f>
              <c:strCache>
                <c:ptCount val="2"/>
                <c:pt idx="0">
                  <c:v>スポーツに必要なスポーツビジョンの測定です。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結果シート!$A$40:$A$44</c:f>
              <c:strCache>
                <c:ptCount val="5"/>
                <c:pt idx="0">
                  <c:v>動体視力</c:v>
                </c:pt>
                <c:pt idx="1">
                  <c:v>眼球運動</c:v>
                </c:pt>
                <c:pt idx="2">
                  <c:v>周辺視</c:v>
                </c:pt>
                <c:pt idx="3">
                  <c:v>瞬間視</c:v>
                </c:pt>
                <c:pt idx="4">
                  <c:v>タッチパネル(秒）</c:v>
                </c:pt>
              </c:strCache>
            </c:strRef>
          </c:cat>
          <c:val>
            <c:numRef>
              <c:f>結果シート!$C$40:$C$44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E51-4D69-AD5D-7305388305AD}"/>
            </c:ext>
          </c:extLst>
        </c:ser>
        <c:dLbls>
          <c:showLegendKey val="0"/>
          <c:showVal val="0"/>
          <c:showCatName val="0"/>
          <c:showSerName val="0"/>
          <c:showPercent val="0"/>
          <c:showBubbleSize val="0"/>
        </c:dLbls>
        <c:axId val="933199615"/>
        <c:axId val="933214495"/>
        <c:extLst>
          <c:ext xmlns:c15="http://schemas.microsoft.com/office/drawing/2012/chart" uri="{02D57815-91ED-43cb-92C2-25804820EDAC}">
            <c15:filteredRadarSeries>
              <c15:ser>
                <c:idx val="0"/>
                <c:order val="0"/>
                <c:tx>
                  <c:strRef>
                    <c:extLst>
                      <c:ext uri="{02D57815-91ED-43cb-92C2-25804820EDAC}">
                        <c15:formulaRef>
                          <c15:sqref>結果シート!$B$38:$B$39</c15:sqref>
                        </c15:formulaRef>
                      </c:ext>
                    </c:extLst>
                    <c:strCache>
                      <c:ptCount val="2"/>
                      <c:pt idx="0">
                        <c:v>スポーツに必要なスポーツビジョンの測定です。</c:v>
                      </c:pt>
                      <c:pt idx="1">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結果シート!$A$40:$A$44</c15:sqref>
                        </c15:formulaRef>
                      </c:ext>
                    </c:extLst>
                    <c:strCache>
                      <c:ptCount val="5"/>
                      <c:pt idx="0">
                        <c:v>動体視力</c:v>
                      </c:pt>
                      <c:pt idx="1">
                        <c:v>眼球運動</c:v>
                      </c:pt>
                      <c:pt idx="2">
                        <c:v>周辺視</c:v>
                      </c:pt>
                      <c:pt idx="3">
                        <c:v>瞬間視</c:v>
                      </c:pt>
                      <c:pt idx="4">
                        <c:v>タッチパネル(秒）</c:v>
                      </c:pt>
                    </c:strCache>
                  </c:strRef>
                </c:cat>
                <c:val>
                  <c:numRef>
                    <c:extLst>
                      <c:ext uri="{02D57815-91ED-43cb-92C2-25804820EDAC}">
                        <c15:formulaRef>
                          <c15:sqref>結果シート!$B$40:$B$44</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6E51-4D69-AD5D-7305388305AD}"/>
                  </c:ext>
                </c:extLst>
              </c15:ser>
            </c15:filteredRadarSeries>
          </c:ext>
        </c:extLst>
      </c:radarChart>
      <c:catAx>
        <c:axId val="93319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ja-JP"/>
          </a:p>
        </c:txPr>
        <c:crossAx val="933214495"/>
        <c:crosses val="autoZero"/>
        <c:auto val="1"/>
        <c:lblAlgn val="ctr"/>
        <c:lblOffset val="100"/>
        <c:noMultiLvlLbl val="0"/>
      </c:catAx>
      <c:valAx>
        <c:axId val="93321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19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88900</xdr:colOff>
          <xdr:row>3</xdr:row>
          <xdr:rowOff>50800</xdr:rowOff>
        </xdr:from>
        <xdr:to>
          <xdr:col>6</xdr:col>
          <xdr:colOff>336550</xdr:colOff>
          <xdr:row>6</xdr:row>
          <xdr:rowOff>146050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4000-000001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787400</xdr:colOff>
          <xdr:row>3</xdr:row>
          <xdr:rowOff>31750</xdr:rowOff>
        </xdr:from>
        <xdr:to>
          <xdr:col>12</xdr:col>
          <xdr:colOff>254000</xdr:colOff>
          <xdr:row>6</xdr:row>
          <xdr:rowOff>203200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4000-000002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3</xdr:row>
          <xdr:rowOff>50800</xdr:rowOff>
        </xdr:from>
        <xdr:to>
          <xdr:col>7</xdr:col>
          <xdr:colOff>336550</xdr:colOff>
          <xdr:row>6</xdr:row>
          <xdr:rowOff>146050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4000-000003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3</xdr:row>
          <xdr:rowOff>31750</xdr:rowOff>
        </xdr:from>
        <xdr:to>
          <xdr:col>13</xdr:col>
          <xdr:colOff>254000</xdr:colOff>
          <xdr:row>6</xdr:row>
          <xdr:rowOff>203200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4000-000004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1280104</xdr:colOff>
      <xdr:row>3</xdr:row>
      <xdr:rowOff>190631</xdr:rowOff>
    </xdr:from>
    <xdr:to>
      <xdr:col>1</xdr:col>
      <xdr:colOff>175492</xdr:colOff>
      <xdr:row>5</xdr:row>
      <xdr:rowOff>6481</xdr:rowOff>
    </xdr:to>
    <xdr:sp macro="" textlink="">
      <xdr:nvSpPr>
        <xdr:cNvPr id="2" name="テキスト ボックス 1">
          <a:extLst>
            <a:ext uri="{FF2B5EF4-FFF2-40B4-BE49-F238E27FC236}">
              <a16:creationId xmlns:a16="http://schemas.microsoft.com/office/drawing/2014/main" id="{168328DB-AD5B-497C-B9FA-C0128BAF1129}"/>
            </a:ext>
          </a:extLst>
        </xdr:cNvPr>
        <xdr:cNvSpPr txBox="1"/>
      </xdr:nvSpPr>
      <xdr:spPr>
        <a:xfrm>
          <a:off x="1280104" y="1059311"/>
          <a:ext cx="647988" cy="28067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測定日</a:t>
          </a:r>
        </a:p>
      </xdr:txBody>
    </xdr:sp>
    <xdr:clientData/>
  </xdr:twoCellAnchor>
  <xdr:twoCellAnchor>
    <xdr:from>
      <xdr:col>2</xdr:col>
      <xdr:colOff>536738</xdr:colOff>
      <xdr:row>0</xdr:row>
      <xdr:rowOff>92319</xdr:rowOff>
    </xdr:from>
    <xdr:to>
      <xdr:col>12</xdr:col>
      <xdr:colOff>249035</xdr:colOff>
      <xdr:row>3</xdr:row>
      <xdr:rowOff>9769</xdr:rowOff>
    </xdr:to>
    <xdr:sp macro="" textlink="">
      <xdr:nvSpPr>
        <xdr:cNvPr id="3" name="テキスト ボックス 2">
          <a:extLst>
            <a:ext uri="{FF2B5EF4-FFF2-40B4-BE49-F238E27FC236}">
              <a16:creationId xmlns:a16="http://schemas.microsoft.com/office/drawing/2014/main" id="{45E4BD67-C845-4990-878F-EDBDAF623E05}"/>
            </a:ext>
          </a:extLst>
        </xdr:cNvPr>
        <xdr:cNvSpPr txBox="1"/>
      </xdr:nvSpPr>
      <xdr:spPr>
        <a:xfrm>
          <a:off x="2982758" y="92319"/>
          <a:ext cx="3697557" cy="78613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b="1">
              <a:latin typeface="Noto Sans JP Medium" panose="020B0200000000000000" pitchFamily="50" charset="-128"/>
              <a:ea typeface="Noto Sans JP Medium" panose="020B0200000000000000" pitchFamily="50" charset="-128"/>
            </a:rPr>
            <a:t>fieldtest</a:t>
          </a:r>
          <a:r>
            <a:rPr kumimoji="1" lang="ja-JP" altLang="en-US" sz="2400" b="1">
              <a:latin typeface="Noto Sans JP Medium" panose="020B0200000000000000" pitchFamily="50" charset="-128"/>
              <a:ea typeface="Noto Sans JP Medium" panose="020B0200000000000000" pitchFamily="50" charset="-128"/>
            </a:rPr>
            <a:t>　結果レポート</a:t>
          </a:r>
        </a:p>
      </xdr:txBody>
    </xdr:sp>
    <xdr:clientData/>
  </xdr:twoCellAnchor>
  <xdr:twoCellAnchor editAs="oneCell">
    <xdr:from>
      <xdr:col>15</xdr:col>
      <xdr:colOff>115517</xdr:colOff>
      <xdr:row>0</xdr:row>
      <xdr:rowOff>0</xdr:rowOff>
    </xdr:from>
    <xdr:to>
      <xdr:col>17</xdr:col>
      <xdr:colOff>19723</xdr:colOff>
      <xdr:row>4</xdr:row>
      <xdr:rowOff>117230</xdr:rowOff>
    </xdr:to>
    <xdr:pic>
      <xdr:nvPicPr>
        <xdr:cNvPr id="4" name="図 3">
          <a:extLst>
            <a:ext uri="{FF2B5EF4-FFF2-40B4-BE49-F238E27FC236}">
              <a16:creationId xmlns:a16="http://schemas.microsoft.com/office/drawing/2014/main" id="{36975D35-D04A-4745-9650-F85EA8AC6B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52748" y="0"/>
          <a:ext cx="1274047" cy="1216268"/>
        </a:xfrm>
        <a:prstGeom prst="rect">
          <a:avLst/>
        </a:prstGeom>
      </xdr:spPr>
    </xdr:pic>
    <xdr:clientData/>
  </xdr:twoCellAnchor>
  <xdr:twoCellAnchor editAs="oneCell">
    <xdr:from>
      <xdr:col>13</xdr:col>
      <xdr:colOff>129313</xdr:colOff>
      <xdr:row>49</xdr:row>
      <xdr:rowOff>188506</xdr:rowOff>
    </xdr:from>
    <xdr:to>
      <xdr:col>17</xdr:col>
      <xdr:colOff>97827</xdr:colOff>
      <xdr:row>59</xdr:row>
      <xdr:rowOff>67086</xdr:rowOff>
    </xdr:to>
    <xdr:pic>
      <xdr:nvPicPr>
        <xdr:cNvPr id="5" name="図 4">
          <a:extLst>
            <a:ext uri="{FF2B5EF4-FFF2-40B4-BE49-F238E27FC236}">
              <a16:creationId xmlns:a16="http://schemas.microsoft.com/office/drawing/2014/main" id="{1A164745-3D5B-4649-83B8-6466EA3B4053}"/>
            </a:ext>
          </a:extLst>
        </xdr:cNvPr>
        <xdr:cNvPicPr>
          <a:picLocks noChangeAspect="1"/>
        </xdr:cNvPicPr>
      </xdr:nvPicPr>
      <xdr:blipFill>
        <a:blip xmlns:r="http://schemas.openxmlformats.org/officeDocument/2006/relationships" r:embed="rId2"/>
        <a:stretch>
          <a:fillRect/>
        </a:stretch>
      </xdr:blipFill>
      <xdr:spPr>
        <a:xfrm>
          <a:off x="6888253" y="11580406"/>
          <a:ext cx="2359289" cy="2171564"/>
        </a:xfrm>
        <a:prstGeom prst="rect">
          <a:avLst/>
        </a:prstGeom>
      </xdr:spPr>
    </xdr:pic>
    <xdr:clientData/>
  </xdr:twoCellAnchor>
  <xdr:twoCellAnchor>
    <xdr:from>
      <xdr:col>8</xdr:col>
      <xdr:colOff>194453</xdr:colOff>
      <xdr:row>6</xdr:row>
      <xdr:rowOff>214924</xdr:rowOff>
    </xdr:from>
    <xdr:to>
      <xdr:col>16</xdr:col>
      <xdr:colOff>595379</xdr:colOff>
      <xdr:row>16</xdr:row>
      <xdr:rowOff>48717</xdr:rowOff>
    </xdr:to>
    <xdr:graphicFrame macro="">
      <xdr:nvGraphicFramePr>
        <xdr:cNvPr id="6" name="グラフ 5">
          <a:extLst>
            <a:ext uri="{FF2B5EF4-FFF2-40B4-BE49-F238E27FC236}">
              <a16:creationId xmlns:a16="http://schemas.microsoft.com/office/drawing/2014/main" id="{9FB10E7F-AC92-4507-9E51-3906BC3F0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2597</xdr:colOff>
      <xdr:row>15</xdr:row>
      <xdr:rowOff>213412</xdr:rowOff>
    </xdr:from>
    <xdr:to>
      <xdr:col>17</xdr:col>
      <xdr:colOff>92910</xdr:colOff>
      <xdr:row>26</xdr:row>
      <xdr:rowOff>109739</xdr:rowOff>
    </xdr:to>
    <xdr:graphicFrame macro="">
      <xdr:nvGraphicFramePr>
        <xdr:cNvPr id="7" name="グラフ 6">
          <a:extLst>
            <a:ext uri="{FF2B5EF4-FFF2-40B4-BE49-F238E27FC236}">
              <a16:creationId xmlns:a16="http://schemas.microsoft.com/office/drawing/2014/main" id="{E918BADC-4EEE-427C-851B-A7EABEDE75F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32503</xdr:colOff>
      <xdr:row>25</xdr:row>
      <xdr:rowOff>183708</xdr:rowOff>
    </xdr:from>
    <xdr:to>
      <xdr:col>17</xdr:col>
      <xdr:colOff>43698</xdr:colOff>
      <xdr:row>36</xdr:row>
      <xdr:rowOff>190189</xdr:rowOff>
    </xdr:to>
    <xdr:graphicFrame macro="">
      <xdr:nvGraphicFramePr>
        <xdr:cNvPr id="8" name="グラフ 7">
          <a:extLst>
            <a:ext uri="{FF2B5EF4-FFF2-40B4-BE49-F238E27FC236}">
              <a16:creationId xmlns:a16="http://schemas.microsoft.com/office/drawing/2014/main" id="{2A4D01F6-D077-49C9-86B8-487BD863CA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1296</xdr:colOff>
      <xdr:row>38</xdr:row>
      <xdr:rowOff>213828</xdr:rowOff>
    </xdr:from>
    <xdr:to>
      <xdr:col>16</xdr:col>
      <xdr:colOff>673876</xdr:colOff>
      <xdr:row>47</xdr:row>
      <xdr:rowOff>168469</xdr:rowOff>
    </xdr:to>
    <xdr:graphicFrame macro="">
      <xdr:nvGraphicFramePr>
        <xdr:cNvPr id="9" name="グラフ 8">
          <a:extLst>
            <a:ext uri="{FF2B5EF4-FFF2-40B4-BE49-F238E27FC236}">
              <a16:creationId xmlns:a16="http://schemas.microsoft.com/office/drawing/2014/main" id="{61D03654-3969-47F4-85FE-4B83B57B6F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38877</xdr:colOff>
      <xdr:row>3</xdr:row>
      <xdr:rowOff>166929</xdr:rowOff>
    </xdr:from>
    <xdr:to>
      <xdr:col>16</xdr:col>
      <xdr:colOff>145053</xdr:colOff>
      <xdr:row>4</xdr:row>
      <xdr:rowOff>155150</xdr:rowOff>
    </xdr:to>
    <xdr:sp macro="" textlink="">
      <xdr:nvSpPr>
        <xdr:cNvPr id="10" name="テキスト ボックス 9">
          <a:extLst>
            <a:ext uri="{FF2B5EF4-FFF2-40B4-BE49-F238E27FC236}">
              <a16:creationId xmlns:a16="http://schemas.microsoft.com/office/drawing/2014/main" id="{E8D8BC20-DACC-4C0E-B7A8-88B2EE40221A}"/>
            </a:ext>
          </a:extLst>
        </xdr:cNvPr>
        <xdr:cNvSpPr txBox="1"/>
      </xdr:nvSpPr>
      <xdr:spPr>
        <a:xfrm>
          <a:off x="7131339" y="1040298"/>
          <a:ext cx="1477776" cy="22268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30</a:t>
          </a:r>
          <a:r>
            <a:rPr kumimoji="1" lang="ja-JP" altLang="en-US" sz="800"/>
            <a:t>点以下：伸びしろあり</a:t>
          </a:r>
        </a:p>
      </xdr:txBody>
    </xdr:sp>
    <xdr:clientData/>
  </xdr:twoCellAnchor>
  <xdr:twoCellAnchor>
    <xdr:from>
      <xdr:col>14</xdr:col>
      <xdr:colOff>38877</xdr:colOff>
      <xdr:row>4</xdr:row>
      <xdr:rowOff>70524</xdr:rowOff>
    </xdr:from>
    <xdr:to>
      <xdr:col>16</xdr:col>
      <xdr:colOff>110152</xdr:colOff>
      <xdr:row>5</xdr:row>
      <xdr:rowOff>122359</xdr:rowOff>
    </xdr:to>
    <xdr:sp macro="" textlink="">
      <xdr:nvSpPr>
        <xdr:cNvPr id="11" name="テキスト ボックス 10">
          <a:extLst>
            <a:ext uri="{FF2B5EF4-FFF2-40B4-BE49-F238E27FC236}">
              <a16:creationId xmlns:a16="http://schemas.microsoft.com/office/drawing/2014/main" id="{E089E8B6-404C-4A72-A264-61932A1857E1}"/>
            </a:ext>
          </a:extLst>
        </xdr:cNvPr>
        <xdr:cNvSpPr txBox="1"/>
      </xdr:nvSpPr>
      <xdr:spPr>
        <a:xfrm>
          <a:off x="7125477" y="1183044"/>
          <a:ext cx="1442875"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31~70</a:t>
          </a:r>
          <a:r>
            <a:rPr kumimoji="1" lang="ja-JP" altLang="en-US" sz="800"/>
            <a:t>点：一般的レベル</a:t>
          </a:r>
        </a:p>
      </xdr:txBody>
    </xdr:sp>
    <xdr:clientData/>
  </xdr:twoCellAnchor>
  <xdr:twoCellAnchor>
    <xdr:from>
      <xdr:col>14</xdr:col>
      <xdr:colOff>38877</xdr:colOff>
      <xdr:row>5</xdr:row>
      <xdr:rowOff>37733</xdr:rowOff>
    </xdr:from>
    <xdr:to>
      <xdr:col>16</xdr:col>
      <xdr:colOff>246225</xdr:colOff>
      <xdr:row>6</xdr:row>
      <xdr:rowOff>89568</xdr:rowOff>
    </xdr:to>
    <xdr:sp macro="" textlink="">
      <xdr:nvSpPr>
        <xdr:cNvPr id="12" name="テキスト ボックス 11">
          <a:extLst>
            <a:ext uri="{FF2B5EF4-FFF2-40B4-BE49-F238E27FC236}">
              <a16:creationId xmlns:a16="http://schemas.microsoft.com/office/drawing/2014/main" id="{82FABB7D-2FFF-46BC-8DCE-BED895A5818C}"/>
            </a:ext>
          </a:extLst>
        </xdr:cNvPr>
        <xdr:cNvSpPr txBox="1"/>
      </xdr:nvSpPr>
      <xdr:spPr>
        <a:xfrm>
          <a:off x="7125477" y="1378853"/>
          <a:ext cx="1578948"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71~100</a:t>
          </a:r>
          <a:r>
            <a:rPr kumimoji="1" lang="ja-JP" altLang="en-US" sz="800"/>
            <a:t>点：アスリートレベル</a:t>
          </a:r>
        </a:p>
      </xdr:txBody>
    </xdr:sp>
    <xdr:clientData/>
  </xdr:twoCellAnchor>
  <xdr:twoCellAnchor>
    <xdr:from>
      <xdr:col>14</xdr:col>
      <xdr:colOff>38877</xdr:colOff>
      <xdr:row>6</xdr:row>
      <xdr:rowOff>4941</xdr:rowOff>
    </xdr:from>
    <xdr:to>
      <xdr:col>16</xdr:col>
      <xdr:colOff>570204</xdr:colOff>
      <xdr:row>7</xdr:row>
      <xdr:rowOff>56776</xdr:rowOff>
    </xdr:to>
    <xdr:sp macro="" textlink="">
      <xdr:nvSpPr>
        <xdr:cNvPr id="13" name="テキスト ボックス 12">
          <a:extLst>
            <a:ext uri="{FF2B5EF4-FFF2-40B4-BE49-F238E27FC236}">
              <a16:creationId xmlns:a16="http://schemas.microsoft.com/office/drawing/2014/main" id="{3F103A45-B1EF-431F-9328-79D3C6AB7573}"/>
            </a:ext>
          </a:extLst>
        </xdr:cNvPr>
        <xdr:cNvSpPr txBox="1"/>
      </xdr:nvSpPr>
      <xdr:spPr>
        <a:xfrm>
          <a:off x="7131339" y="1569972"/>
          <a:ext cx="1902927"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101~130</a:t>
          </a:r>
          <a:r>
            <a:rPr kumimoji="1" lang="ja-JP" altLang="en-US" sz="800"/>
            <a:t>点：トップアスリートレベル</a:t>
          </a:r>
        </a:p>
      </xdr:txBody>
    </xdr:sp>
    <xdr:clientData/>
  </xdr:twoCellAnchor>
  <xdr:twoCellAnchor>
    <xdr:from>
      <xdr:col>9</xdr:col>
      <xdr:colOff>12959</xdr:colOff>
      <xdr:row>34</xdr:row>
      <xdr:rowOff>187908</xdr:rowOff>
    </xdr:from>
    <xdr:to>
      <xdr:col>9</xdr:col>
      <xdr:colOff>136071</xdr:colOff>
      <xdr:row>35</xdr:row>
      <xdr:rowOff>123112</xdr:rowOff>
    </xdr:to>
    <xdr:cxnSp macro="">
      <xdr:nvCxnSpPr>
        <xdr:cNvPr id="14" name="直線コネクタ 13">
          <a:extLst>
            <a:ext uri="{FF2B5EF4-FFF2-40B4-BE49-F238E27FC236}">
              <a16:creationId xmlns:a16="http://schemas.microsoft.com/office/drawing/2014/main" id="{F4A51547-AAE4-4536-9BB6-CCB8675381AE}"/>
            </a:ext>
          </a:extLst>
        </xdr:cNvPr>
        <xdr:cNvCxnSpPr/>
      </xdr:nvCxnSpPr>
      <xdr:spPr>
        <a:xfrm flipV="1">
          <a:off x="5461259" y="8600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34</xdr:row>
      <xdr:rowOff>220306</xdr:rowOff>
    </xdr:from>
    <xdr:to>
      <xdr:col>10</xdr:col>
      <xdr:colOff>136071</xdr:colOff>
      <xdr:row>36</xdr:row>
      <xdr:rowOff>6480</xdr:rowOff>
    </xdr:to>
    <xdr:sp macro="" textlink="">
      <xdr:nvSpPr>
        <xdr:cNvPr id="15" name="テキスト ボックス 14">
          <a:extLst>
            <a:ext uri="{FF2B5EF4-FFF2-40B4-BE49-F238E27FC236}">
              <a16:creationId xmlns:a16="http://schemas.microsoft.com/office/drawing/2014/main" id="{CB63B653-BD78-4FCA-8CD9-EEBD77D1B07C}"/>
            </a:ext>
          </a:extLst>
        </xdr:cNvPr>
        <xdr:cNvSpPr txBox="1"/>
      </xdr:nvSpPr>
      <xdr:spPr>
        <a:xfrm>
          <a:off x="5487177" y="8632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44</xdr:row>
      <xdr:rowOff>187908</xdr:rowOff>
    </xdr:from>
    <xdr:to>
      <xdr:col>9</xdr:col>
      <xdr:colOff>136071</xdr:colOff>
      <xdr:row>45</xdr:row>
      <xdr:rowOff>123112</xdr:rowOff>
    </xdr:to>
    <xdr:cxnSp macro="">
      <xdr:nvCxnSpPr>
        <xdr:cNvPr id="16" name="直線コネクタ 15">
          <a:extLst>
            <a:ext uri="{FF2B5EF4-FFF2-40B4-BE49-F238E27FC236}">
              <a16:creationId xmlns:a16="http://schemas.microsoft.com/office/drawing/2014/main" id="{4B9DB910-A4B5-43D9-B14D-90BDB01CDCEB}"/>
            </a:ext>
          </a:extLst>
        </xdr:cNvPr>
        <xdr:cNvCxnSpPr/>
      </xdr:nvCxnSpPr>
      <xdr:spPr>
        <a:xfrm flipV="1">
          <a:off x="5461259" y="10886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44</xdr:row>
      <xdr:rowOff>220306</xdr:rowOff>
    </xdr:from>
    <xdr:to>
      <xdr:col>10</xdr:col>
      <xdr:colOff>136071</xdr:colOff>
      <xdr:row>46</xdr:row>
      <xdr:rowOff>6480</xdr:rowOff>
    </xdr:to>
    <xdr:sp macro="" textlink="">
      <xdr:nvSpPr>
        <xdr:cNvPr id="17" name="テキスト ボックス 16">
          <a:extLst>
            <a:ext uri="{FF2B5EF4-FFF2-40B4-BE49-F238E27FC236}">
              <a16:creationId xmlns:a16="http://schemas.microsoft.com/office/drawing/2014/main" id="{84EE7724-F2D0-43DE-9416-AAD5ABAC5777}"/>
            </a:ext>
          </a:extLst>
        </xdr:cNvPr>
        <xdr:cNvSpPr txBox="1"/>
      </xdr:nvSpPr>
      <xdr:spPr>
        <a:xfrm>
          <a:off x="5487177" y="10918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22</xdr:row>
      <xdr:rowOff>187908</xdr:rowOff>
    </xdr:from>
    <xdr:to>
      <xdr:col>9</xdr:col>
      <xdr:colOff>136071</xdr:colOff>
      <xdr:row>23</xdr:row>
      <xdr:rowOff>123112</xdr:rowOff>
    </xdr:to>
    <xdr:cxnSp macro="">
      <xdr:nvCxnSpPr>
        <xdr:cNvPr id="18" name="直線コネクタ 17">
          <a:extLst>
            <a:ext uri="{FF2B5EF4-FFF2-40B4-BE49-F238E27FC236}">
              <a16:creationId xmlns:a16="http://schemas.microsoft.com/office/drawing/2014/main" id="{D61CEF31-43EA-47F8-8023-6D0570903168}"/>
            </a:ext>
          </a:extLst>
        </xdr:cNvPr>
        <xdr:cNvCxnSpPr/>
      </xdr:nvCxnSpPr>
      <xdr:spPr>
        <a:xfrm flipV="1">
          <a:off x="5461259" y="58571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22</xdr:row>
      <xdr:rowOff>220306</xdr:rowOff>
    </xdr:from>
    <xdr:to>
      <xdr:col>10</xdr:col>
      <xdr:colOff>136071</xdr:colOff>
      <xdr:row>24</xdr:row>
      <xdr:rowOff>6480</xdr:rowOff>
    </xdr:to>
    <xdr:sp macro="" textlink="">
      <xdr:nvSpPr>
        <xdr:cNvPr id="19" name="テキスト ボックス 18">
          <a:extLst>
            <a:ext uri="{FF2B5EF4-FFF2-40B4-BE49-F238E27FC236}">
              <a16:creationId xmlns:a16="http://schemas.microsoft.com/office/drawing/2014/main" id="{340F56E6-2114-449D-BA15-675A2666B715}"/>
            </a:ext>
          </a:extLst>
        </xdr:cNvPr>
        <xdr:cNvSpPr txBox="1"/>
      </xdr:nvSpPr>
      <xdr:spPr>
        <a:xfrm>
          <a:off x="5487177" y="58895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30</a:t>
          </a:r>
          <a:endParaRPr kumimoji="1" lang="ja-JP" altLang="en-US" sz="1100"/>
        </a:p>
      </xdr:txBody>
    </xdr:sp>
    <xdr:clientData/>
  </xdr:twoCellAnchor>
  <xdr:twoCellAnchor>
    <xdr:from>
      <xdr:col>12</xdr:col>
      <xdr:colOff>317499</xdr:colOff>
      <xdr:row>6</xdr:row>
      <xdr:rowOff>7056</xdr:rowOff>
    </xdr:from>
    <xdr:to>
      <xdr:col>14</xdr:col>
      <xdr:colOff>77610</xdr:colOff>
      <xdr:row>7</xdr:row>
      <xdr:rowOff>28222</xdr:rowOff>
    </xdr:to>
    <xdr:sp macro="" textlink="">
      <xdr:nvSpPr>
        <xdr:cNvPr id="20" name="テキスト ボックス 19">
          <a:extLst>
            <a:ext uri="{FF2B5EF4-FFF2-40B4-BE49-F238E27FC236}">
              <a16:creationId xmlns:a16="http://schemas.microsoft.com/office/drawing/2014/main" id="{19B4D276-3B00-4612-B10E-AB8A0409840C}"/>
            </a:ext>
          </a:extLst>
        </xdr:cNvPr>
        <xdr:cNvSpPr txBox="1"/>
      </xdr:nvSpPr>
      <xdr:spPr>
        <a:xfrm>
          <a:off x="6748779" y="1569156"/>
          <a:ext cx="415431" cy="24976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130</a:t>
          </a:r>
          <a:endParaRPr kumimoji="1" lang="ja-JP" altLang="en-US" sz="1100"/>
        </a:p>
      </xdr:txBody>
    </xdr:sp>
    <xdr:clientData/>
  </xdr:twoCellAnchor>
  <xdr:twoCellAnchor>
    <xdr:from>
      <xdr:col>13</xdr:col>
      <xdr:colOff>9608</xdr:colOff>
      <xdr:row>6</xdr:row>
      <xdr:rowOff>79212</xdr:rowOff>
    </xdr:from>
    <xdr:to>
      <xdr:col>13</xdr:col>
      <xdr:colOff>54043</xdr:colOff>
      <xdr:row>6</xdr:row>
      <xdr:rowOff>180390</xdr:rowOff>
    </xdr:to>
    <xdr:cxnSp macro="">
      <xdr:nvCxnSpPr>
        <xdr:cNvPr id="21" name="直線コネクタ 20">
          <a:extLst>
            <a:ext uri="{FF2B5EF4-FFF2-40B4-BE49-F238E27FC236}">
              <a16:creationId xmlns:a16="http://schemas.microsoft.com/office/drawing/2014/main" id="{C264EF14-C925-448F-9826-456E1FA9AA96}"/>
            </a:ext>
          </a:extLst>
        </xdr:cNvPr>
        <xdr:cNvCxnSpPr/>
      </xdr:nvCxnSpPr>
      <xdr:spPr>
        <a:xfrm flipV="1">
          <a:off x="6768548" y="1641312"/>
          <a:ext cx="44435" cy="10117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oneCellAnchor>
    <xdr:from>
      <xdr:col>0</xdr:col>
      <xdr:colOff>1031876</xdr:colOff>
      <xdr:row>0</xdr:row>
      <xdr:rowOff>143192</xdr:rowOff>
    </xdr:from>
    <xdr:ext cx="389850" cy="435697"/>
    <xdr:sp macro="" textlink="">
      <xdr:nvSpPr>
        <xdr:cNvPr id="22" name="テキスト ボックス 21">
          <a:extLst>
            <a:ext uri="{FF2B5EF4-FFF2-40B4-BE49-F238E27FC236}">
              <a16:creationId xmlns:a16="http://schemas.microsoft.com/office/drawing/2014/main" id="{1F5679AC-BDD3-436E-B78A-FB0BF4F77FE0}"/>
            </a:ext>
          </a:extLst>
        </xdr:cNvPr>
        <xdr:cNvSpPr txBox="1"/>
      </xdr:nvSpPr>
      <xdr:spPr>
        <a:xfrm>
          <a:off x="1031876" y="143192"/>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年</a:t>
          </a:r>
        </a:p>
      </xdr:txBody>
    </xdr:sp>
    <xdr:clientData/>
  </xdr:oneCellAnchor>
  <xdr:oneCellAnchor>
    <xdr:from>
      <xdr:col>0</xdr:col>
      <xdr:colOff>917042</xdr:colOff>
      <xdr:row>1</xdr:row>
      <xdr:rowOff>295273</xdr:rowOff>
    </xdr:from>
    <xdr:ext cx="389850" cy="435697"/>
    <xdr:sp macro="" textlink="">
      <xdr:nvSpPr>
        <xdr:cNvPr id="23" name="テキスト ボックス 22">
          <a:extLst>
            <a:ext uri="{FF2B5EF4-FFF2-40B4-BE49-F238E27FC236}">
              <a16:creationId xmlns:a16="http://schemas.microsoft.com/office/drawing/2014/main" id="{D7442E40-9DFE-4368-A2AF-9C9C41580A92}"/>
            </a:ext>
          </a:extLst>
        </xdr:cNvPr>
        <xdr:cNvSpPr txBox="1"/>
      </xdr:nvSpPr>
      <xdr:spPr>
        <a:xfrm>
          <a:off x="917042" y="485773"/>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月</a:t>
          </a:r>
        </a:p>
      </xdr:txBody>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gekkegroup-my.sharepoint.com/personal/8407417_agkgrp_com/Documents/&#12487;&#12473;&#12463;&#12488;&#12483;&#12503;/&#12501;&#12451;&#12540;&#12523;&#12489;&#12486;&#12473;&#12488;&#12487;&#12540;&#12479;%20&#27598;&#26376;&#26356;&#26032;.xlsm" TargetMode="External"/><Relationship Id="rId1" Type="http://schemas.openxmlformats.org/officeDocument/2006/relationships/externalLinkPath" Target="https://agekkegroup-my.sharepoint.com/personal/8407417_agkgrp_com/Documents/&#12487;&#12473;&#12463;&#12488;&#12483;&#12503;/&#12501;&#12451;&#12540;&#12523;&#12489;&#12486;&#12473;&#12488;&#12487;&#12540;&#12479;%20&#27598;&#26376;&#26356;&#2603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野坂友宏"/>
      <sheetName val="野坂真生"/>
      <sheetName val="野坂幸央"/>
      <sheetName val="北條優空"/>
      <sheetName val="渡辺華"/>
      <sheetName val="小倉大河"/>
      <sheetName val="三ツ森寧樹"/>
      <sheetName val="成田栞那"/>
      <sheetName val="成田睦生"/>
      <sheetName val="大森玲奈"/>
      <sheetName val="追田理仁"/>
      <sheetName val="川﨑遥斗"/>
      <sheetName val="小川根ノ葉"/>
      <sheetName val="野澤奏翔"/>
      <sheetName val="野澤朋樹"/>
      <sheetName val="小井沼晴義"/>
      <sheetName val="藤城将眞"/>
      <sheetName val="武田寛生"/>
      <sheetName val="南木琥太郎"/>
      <sheetName val="南木こころ"/>
      <sheetName val="金谷壮真"/>
      <sheetName val="塩澤蓮"/>
      <sheetName val="塩澤陸"/>
      <sheetName val="新井天翔"/>
      <sheetName val="大橋優那"/>
      <sheetName val="肥塚紗月"/>
      <sheetName val="鶴見蓮音"/>
      <sheetName val="島田龍空"/>
      <sheetName val="島田和空"/>
      <sheetName val="富田竣介"/>
      <sheetName val="高田和音"/>
      <sheetName val="伊藤暉基"/>
      <sheetName val="臼井遥香"/>
      <sheetName val="臼井咲葵"/>
      <sheetName val="斎藤啓次"/>
      <sheetName val="熊倉志道"/>
      <sheetName val="堀越悠太郎"/>
      <sheetName val="堀越亮佑"/>
      <sheetName val="平子創介"/>
      <sheetName val="大塚直幸"/>
      <sheetName val="大塚真結美"/>
      <sheetName val="高田賢吾"/>
      <sheetName val="加藤千空"/>
      <sheetName val="加藤怜"/>
      <sheetName val="石川基"/>
      <sheetName val="須田ほたる"/>
      <sheetName val="大貫那緒"/>
      <sheetName val="手塚みお"/>
      <sheetName val="堀田雄聖"/>
      <sheetName val="大出隆佑"/>
      <sheetName val="大出悠貫"/>
      <sheetName val="久保田葵"/>
      <sheetName val="市村隆晟"/>
      <sheetName val="比良大輝"/>
      <sheetName val="小倉丈"/>
      <sheetName val="篠崎龍"/>
      <sheetName val="篠崎楓"/>
      <sheetName val="山本春稀"/>
      <sheetName val="玉川葵"/>
      <sheetName val="玉川風音"/>
      <sheetName val="鈴木遼太郎"/>
      <sheetName val="佐藤友悠"/>
      <sheetName val="永井悠太郎"/>
      <sheetName val="大木ゆいか"/>
      <sheetName val="島田莉由"/>
      <sheetName val="筒井陽菜"/>
      <sheetName val="飯野簾斗"/>
      <sheetName val="飯野煌心"/>
      <sheetName val="飯野蓮凰"/>
      <sheetName val="和久井捺生"/>
      <sheetName val="宮本絢菜"/>
      <sheetName val="清水稜生"/>
      <sheetName val="データ"/>
      <sheetName val="Sheet1"/>
      <sheetName val="結果シート"/>
      <sheetName val="個人シート原本"/>
      <sheetName val="臼井結香"/>
      <sheetName val="出井結大"/>
      <sheetName val="男子"/>
      <sheetName val="女子"/>
      <sheetName val="Sheet3"/>
      <sheetName val="フィールドテストデータ 毎月更新"/>
    </sheetNames>
    <definedNames>
      <definedName name="ExportPDF_Resultsheet_ByList_Exclude_Unique_OneDriveSafe"/>
      <definedName name="Output_Data_By_FixedFiscalRow"/>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2F0B-9EDA-4D62-961D-A5A1E7100C6F}">
  <sheetPr codeName="Sheet3">
    <tabColor rgb="FFFF0000"/>
    <pageSetUpPr fitToPage="1"/>
  </sheetPr>
  <dimension ref="A1:AH44"/>
  <sheetViews>
    <sheetView zoomScale="101" zoomScaleNormal="40" workbookViewId="0">
      <selection activeCell="R15" sqref="R15"/>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野坂友宏</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C3196-A423-4678-89FB-B5A95CD9D290}">
  <sheetPr codeName="Sheet6">
    <tabColor rgb="FFFF0000"/>
    <pageSetUpPr fitToPage="1"/>
  </sheetPr>
  <dimension ref="A1:AH44"/>
  <sheetViews>
    <sheetView zoomScale="53" zoomScaleNormal="40" workbookViewId="0">
      <selection activeCell="Q18" sqref="Q18"/>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野坂真生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59</v>
      </c>
      <c r="E9" s="13" t="s">
        <v>52</v>
      </c>
      <c r="F9" s="13">
        <v>21.3</v>
      </c>
      <c r="G9" s="13">
        <v>0.193</v>
      </c>
      <c r="H9" s="13">
        <v>16</v>
      </c>
      <c r="I9" s="13">
        <v>0.83</v>
      </c>
      <c r="J9" s="13">
        <v>56</v>
      </c>
      <c r="K9" s="13">
        <v>135</v>
      </c>
      <c r="L9" s="13">
        <v>19.399999999999999</v>
      </c>
      <c r="M9" s="13">
        <v>5</v>
      </c>
      <c r="N9" s="13">
        <v>10</v>
      </c>
      <c r="O9" s="13">
        <v>8</v>
      </c>
      <c r="P9" s="13">
        <v>6</v>
      </c>
      <c r="Q9" s="13">
        <v>42</v>
      </c>
      <c r="R9" s="13">
        <v>137.69999999999999</v>
      </c>
      <c r="S9" s="13">
        <v>42.7</v>
      </c>
      <c r="T9" s="13">
        <v>19.399999999999999</v>
      </c>
      <c r="U9" s="108">
        <v>504</v>
      </c>
      <c r="V9" s="22">
        <v>0.9</v>
      </c>
      <c r="W9" s="13">
        <v>6.62</v>
      </c>
      <c r="X9" s="13">
        <v>147</v>
      </c>
      <c r="Y9" s="13">
        <v>160</v>
      </c>
      <c r="Z9" s="13">
        <v>178</v>
      </c>
      <c r="AA9" s="13">
        <v>183</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59</v>
      </c>
      <c r="E11" s="23" t="s">
        <v>52</v>
      </c>
      <c r="F11" s="23">
        <v>20</v>
      </c>
      <c r="G11" s="23">
        <v>0.17399999999999999</v>
      </c>
      <c r="H11" s="23">
        <v>18.100000000000001</v>
      </c>
      <c r="I11" s="23">
        <v>1.04</v>
      </c>
      <c r="J11" s="23">
        <v>58</v>
      </c>
      <c r="K11" s="23">
        <v>163</v>
      </c>
      <c r="L11" s="23">
        <v>20.2</v>
      </c>
      <c r="M11" s="23">
        <v>7</v>
      </c>
      <c r="N11" s="23">
        <v>10</v>
      </c>
      <c r="O11" s="23">
        <v>9</v>
      </c>
      <c r="P11" s="23">
        <v>7</v>
      </c>
      <c r="Q11" s="23">
        <v>45</v>
      </c>
      <c r="R11" s="23">
        <v>139.5</v>
      </c>
      <c r="S11" s="23">
        <v>42.2</v>
      </c>
      <c r="T11" s="23">
        <v>20.3</v>
      </c>
      <c r="U11" s="108">
        <v>545</v>
      </c>
      <c r="V11" s="23">
        <v>0.91</v>
      </c>
      <c r="W11" s="23">
        <v>6.58</v>
      </c>
      <c r="X11" s="23">
        <v>165</v>
      </c>
      <c r="Y11" s="23">
        <v>173</v>
      </c>
      <c r="Z11" s="23">
        <v>180</v>
      </c>
      <c r="AA11" s="23">
        <v>182</v>
      </c>
      <c r="AB11" s="13">
        <v>8</v>
      </c>
      <c r="AC11" s="13">
        <v>9</v>
      </c>
      <c r="AD11" s="13">
        <v>10</v>
      </c>
      <c r="AE11" s="13">
        <v>11</v>
      </c>
      <c r="AF11" s="14"/>
      <c r="AG11" s="24"/>
    </row>
    <row r="12" spans="1:34" x14ac:dyDescent="0.55000000000000004">
      <c r="A12" s="19">
        <v>2025</v>
      </c>
      <c r="B12" s="20">
        <v>12</v>
      </c>
      <c r="C12" s="106">
        <v>46015</v>
      </c>
      <c r="D12" s="23" t="s">
        <v>59</v>
      </c>
      <c r="E12" s="23" t="s">
        <v>52</v>
      </c>
      <c r="F12" s="23">
        <v>21.2</v>
      </c>
      <c r="G12" s="23">
        <v>0.214</v>
      </c>
      <c r="H12" s="23">
        <v>18.899999999999999</v>
      </c>
      <c r="I12" s="23">
        <v>0.88</v>
      </c>
      <c r="J12" s="23">
        <v>59</v>
      </c>
      <c r="K12" s="23">
        <v>170</v>
      </c>
      <c r="L12" s="23">
        <v>19.600000000000001</v>
      </c>
      <c r="M12" s="23">
        <v>5</v>
      </c>
      <c r="N12" s="23">
        <v>10</v>
      </c>
      <c r="O12" s="23">
        <v>7</v>
      </c>
      <c r="P12" s="23">
        <v>3</v>
      </c>
      <c r="Q12" s="23">
        <v>44</v>
      </c>
      <c r="R12" s="23">
        <v>139.19999999999999</v>
      </c>
      <c r="S12" s="23">
        <v>42.1</v>
      </c>
      <c r="T12" s="23">
        <v>21.1</v>
      </c>
      <c r="U12" s="108">
        <v>560</v>
      </c>
      <c r="V12" s="23">
        <v>0.91</v>
      </c>
      <c r="W12" s="23">
        <v>6.47</v>
      </c>
      <c r="X12" s="23">
        <v>165</v>
      </c>
      <c r="Y12" s="23">
        <v>176</v>
      </c>
      <c r="Z12" s="23">
        <v>180</v>
      </c>
      <c r="AA12" s="23">
        <v>183</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478D8-23B7-49E9-9A15-1D587D90BBD6}">
  <sheetPr codeName="Sheet7">
    <tabColor rgb="FFFF0000"/>
    <pageSetUpPr fitToPage="1"/>
  </sheetPr>
  <dimension ref="A1:AH44"/>
  <sheetViews>
    <sheetView topLeftCell="P1" zoomScale="85"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野坂幸央</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v>45770</v>
      </c>
      <c r="D4" s="17" t="s">
        <v>84</v>
      </c>
      <c r="E4" s="17" t="s">
        <v>52</v>
      </c>
      <c r="F4" s="17">
        <v>22.8</v>
      </c>
      <c r="G4" s="17">
        <v>0.26100000000000001</v>
      </c>
      <c r="H4" s="17">
        <v>15.2</v>
      </c>
      <c r="I4" s="17">
        <v>0.57999999999999996</v>
      </c>
      <c r="J4" s="17">
        <v>47</v>
      </c>
      <c r="K4" s="17">
        <v>96</v>
      </c>
      <c r="L4" s="17">
        <v>24.8</v>
      </c>
      <c r="M4" s="17">
        <v>6</v>
      </c>
      <c r="N4" s="17">
        <v>9</v>
      </c>
      <c r="O4" s="17">
        <v>5</v>
      </c>
      <c r="P4" s="17">
        <v>1</v>
      </c>
      <c r="Q4" s="17">
        <v>60</v>
      </c>
      <c r="R4" s="17">
        <v>121.6</v>
      </c>
      <c r="S4" s="17">
        <v>22.4</v>
      </c>
      <c r="T4" s="17">
        <v>15</v>
      </c>
      <c r="U4" s="107">
        <v>351</v>
      </c>
      <c r="V4" s="17">
        <v>0.87</v>
      </c>
      <c r="W4" s="17">
        <v>8.44</v>
      </c>
      <c r="X4" s="17">
        <v>146</v>
      </c>
      <c r="Y4" s="17">
        <v>156</v>
      </c>
      <c r="Z4" s="17">
        <v>168</v>
      </c>
      <c r="AA4" s="17">
        <v>178</v>
      </c>
      <c r="AB4" s="17">
        <v>7</v>
      </c>
      <c r="AC4" s="17">
        <v>8</v>
      </c>
      <c r="AD4" s="17">
        <v>9</v>
      </c>
      <c r="AE4" s="17">
        <v>10</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84</v>
      </c>
      <c r="E9" s="13" t="s">
        <v>52</v>
      </c>
      <c r="F9" s="13">
        <v>16.399999999999999</v>
      </c>
      <c r="G9" s="13">
        <v>0.23100000000000001</v>
      </c>
      <c r="H9" s="13">
        <v>16.5</v>
      </c>
      <c r="I9" s="13">
        <v>0.46</v>
      </c>
      <c r="J9" s="13">
        <v>52</v>
      </c>
      <c r="K9" s="13">
        <v>134</v>
      </c>
      <c r="L9" s="13">
        <v>20.5</v>
      </c>
      <c r="M9" s="13">
        <v>6</v>
      </c>
      <c r="N9" s="13">
        <v>4</v>
      </c>
      <c r="O9" s="13">
        <v>1</v>
      </c>
      <c r="P9" s="13">
        <v>7</v>
      </c>
      <c r="Q9" s="13">
        <v>51</v>
      </c>
      <c r="R9" s="13">
        <v>123.5</v>
      </c>
      <c r="S9" s="13">
        <v>25.1</v>
      </c>
      <c r="T9" s="13">
        <v>14.9</v>
      </c>
      <c r="U9" s="108">
        <v>466</v>
      </c>
      <c r="V9" s="22">
        <v>0.92</v>
      </c>
      <c r="W9" s="13">
        <v>7.5</v>
      </c>
      <c r="X9" s="13">
        <v>166</v>
      </c>
      <c r="Y9" s="13">
        <v>168</v>
      </c>
      <c r="Z9" s="13">
        <v>170</v>
      </c>
      <c r="AA9" s="13">
        <v>175</v>
      </c>
      <c r="AB9" s="13">
        <v>7</v>
      </c>
      <c r="AC9" s="13">
        <v>8</v>
      </c>
      <c r="AD9" s="13">
        <v>9</v>
      </c>
      <c r="AE9" s="13">
        <v>10</v>
      </c>
      <c r="AF9" s="14"/>
      <c r="AG9" s="15"/>
    </row>
    <row r="10" spans="1:34" x14ac:dyDescent="0.55000000000000004">
      <c r="A10" s="19">
        <v>2025</v>
      </c>
      <c r="B10" s="20">
        <v>10</v>
      </c>
      <c r="C10" s="106"/>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22234-57DA-4278-A822-7290DBB0EF58}">
  <sheetPr codeName="Sheet37">
    <tabColor rgb="FFFF0000"/>
    <pageSetUpPr fitToPage="1"/>
  </sheetPr>
  <dimension ref="A1:AH44"/>
  <sheetViews>
    <sheetView topLeftCell="A3"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小倉大河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82</v>
      </c>
      <c r="E5" s="13" t="s">
        <v>52</v>
      </c>
      <c r="F5" s="13">
        <v>36</v>
      </c>
      <c r="G5" s="13">
        <v>0.184</v>
      </c>
      <c r="H5" s="13">
        <v>31.8</v>
      </c>
      <c r="I5" s="13">
        <v>1.73</v>
      </c>
      <c r="J5" s="13">
        <v>66</v>
      </c>
      <c r="K5" s="13">
        <v>213</v>
      </c>
      <c r="L5" s="13">
        <v>34.4</v>
      </c>
      <c r="M5" s="13">
        <v>8</v>
      </c>
      <c r="N5" s="13">
        <v>10</v>
      </c>
      <c r="O5" s="13">
        <v>7</v>
      </c>
      <c r="P5" s="13">
        <v>9</v>
      </c>
      <c r="Q5" s="13">
        <v>48</v>
      </c>
      <c r="R5" s="13">
        <v>178.7</v>
      </c>
      <c r="S5" s="13">
        <v>67.7</v>
      </c>
      <c r="T5" s="13">
        <v>28.8</v>
      </c>
      <c r="U5" s="108">
        <v>659</v>
      </c>
      <c r="V5" s="13">
        <v>0.89</v>
      </c>
      <c r="W5" s="13">
        <v>5.94</v>
      </c>
      <c r="X5" s="13">
        <v>152</v>
      </c>
      <c r="Y5" s="13">
        <v>162</v>
      </c>
      <c r="Z5" s="13">
        <v>174</v>
      </c>
      <c r="AA5" s="13">
        <v>178</v>
      </c>
      <c r="AB5" s="13">
        <v>10</v>
      </c>
      <c r="AC5" s="13">
        <v>11</v>
      </c>
      <c r="AD5" s="13">
        <v>12</v>
      </c>
      <c r="AE5" s="13">
        <v>13</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82</v>
      </c>
      <c r="E10" s="23" t="s">
        <v>52</v>
      </c>
      <c r="F10" s="23">
        <v>39.299999999999997</v>
      </c>
      <c r="G10" s="23">
        <v>0.182</v>
      </c>
      <c r="H10" s="23">
        <v>29.1</v>
      </c>
      <c r="I10" s="23">
        <v>1.6</v>
      </c>
      <c r="J10" s="23">
        <v>67</v>
      </c>
      <c r="K10" s="23">
        <v>220</v>
      </c>
      <c r="L10" s="23">
        <v>36.299999999999997</v>
      </c>
      <c r="M10" s="23">
        <v>8</v>
      </c>
      <c r="N10" s="23">
        <v>10</v>
      </c>
      <c r="O10" s="23">
        <v>10</v>
      </c>
      <c r="P10" s="23">
        <v>10</v>
      </c>
      <c r="Q10" s="23">
        <v>38</v>
      </c>
      <c r="R10" s="23">
        <v>178.8</v>
      </c>
      <c r="S10" s="23">
        <v>72</v>
      </c>
      <c r="T10" s="23">
        <v>28.4</v>
      </c>
      <c r="U10" s="108">
        <v>651</v>
      </c>
      <c r="V10" s="23">
        <v>0.89</v>
      </c>
      <c r="W10" s="23">
        <v>5.92</v>
      </c>
      <c r="X10" s="23">
        <v>168</v>
      </c>
      <c r="Y10" s="23">
        <v>172</v>
      </c>
      <c r="Z10" s="23">
        <v>180</v>
      </c>
      <c r="AA10" s="23">
        <v>182</v>
      </c>
      <c r="AB10" s="13">
        <v>10</v>
      </c>
      <c r="AC10" s="13">
        <v>11</v>
      </c>
      <c r="AD10" s="13">
        <v>12</v>
      </c>
      <c r="AE10" s="13">
        <v>13</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82</v>
      </c>
      <c r="E12" s="23" t="s">
        <v>52</v>
      </c>
      <c r="F12" s="23">
        <v>41.4</v>
      </c>
      <c r="G12" s="23">
        <v>0.17399999999999999</v>
      </c>
      <c r="H12" s="23">
        <v>30.9</v>
      </c>
      <c r="I12" s="23">
        <v>1.78</v>
      </c>
      <c r="J12" s="23">
        <v>64</v>
      </c>
      <c r="K12" s="23">
        <v>218</v>
      </c>
      <c r="L12" s="23">
        <v>38</v>
      </c>
      <c r="M12" s="23">
        <v>8</v>
      </c>
      <c r="N12" s="23">
        <v>9</v>
      </c>
      <c r="O12" s="23">
        <v>10</v>
      </c>
      <c r="P12" s="23">
        <v>8</v>
      </c>
      <c r="Q12" s="23">
        <v>39</v>
      </c>
      <c r="R12" s="23">
        <v>178.9</v>
      </c>
      <c r="S12" s="23">
        <v>73.8</v>
      </c>
      <c r="T12" s="23">
        <v>29.4</v>
      </c>
      <c r="U12" s="108">
        <v>740</v>
      </c>
      <c r="V12" s="23">
        <v>0.92</v>
      </c>
      <c r="W12" s="23">
        <v>5.82</v>
      </c>
      <c r="X12" s="23">
        <v>158</v>
      </c>
      <c r="Y12" s="23">
        <v>168</v>
      </c>
      <c r="Z12" s="23">
        <v>173</v>
      </c>
      <c r="AA12" s="23">
        <v>177</v>
      </c>
      <c r="AB12" s="13">
        <v>10</v>
      </c>
      <c r="AC12" s="13">
        <v>11</v>
      </c>
      <c r="AD12" s="13">
        <v>12</v>
      </c>
      <c r="AE12" s="13">
        <v>13</v>
      </c>
      <c r="AF12" s="14"/>
      <c r="AG12" s="24"/>
    </row>
    <row r="13" spans="1:34" x14ac:dyDescent="0.55000000000000004">
      <c r="A13" s="19">
        <v>2025</v>
      </c>
      <c r="B13" s="20">
        <v>1</v>
      </c>
      <c r="C13" s="106">
        <v>46050</v>
      </c>
      <c r="D13" s="23" t="s">
        <v>82</v>
      </c>
      <c r="E13" s="23" t="s">
        <v>52</v>
      </c>
      <c r="F13" s="23">
        <v>41.4</v>
      </c>
      <c r="G13" s="23">
        <v>0.17899999999999999</v>
      </c>
      <c r="H13" s="23">
        <v>27.2</v>
      </c>
      <c r="I13" s="23">
        <v>1.52</v>
      </c>
      <c r="J13" s="23">
        <v>68</v>
      </c>
      <c r="K13" s="23">
        <v>216</v>
      </c>
      <c r="L13" s="23">
        <v>38.4</v>
      </c>
      <c r="M13" s="23">
        <v>7</v>
      </c>
      <c r="N13" s="23">
        <v>10</v>
      </c>
      <c r="O13" s="23">
        <v>6</v>
      </c>
      <c r="P13" s="23">
        <v>8</v>
      </c>
      <c r="Q13" s="23">
        <v>38</v>
      </c>
      <c r="R13" s="23">
        <v>179.1</v>
      </c>
      <c r="S13" s="23">
        <v>73</v>
      </c>
      <c r="T13" s="23">
        <v>28.6</v>
      </c>
      <c r="U13" s="108">
        <v>678</v>
      </c>
      <c r="V13" s="23">
        <v>0.9</v>
      </c>
      <c r="W13" s="23">
        <v>6.35</v>
      </c>
      <c r="X13" s="23">
        <v>145</v>
      </c>
      <c r="Y13" s="23">
        <v>156</v>
      </c>
      <c r="Z13" s="23">
        <v>170</v>
      </c>
      <c r="AA13" s="23">
        <v>176</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106"/>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106"/>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106"/>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B00CB-6E66-4455-B7D0-E0004734C831}">
  <sheetPr codeName="Sheet3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三ツ森寧樹</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6849-741D-495B-91DC-71F3F0B2DA97}">
  <sheetPr codeName="Sheet3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成田栞那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v>45772</v>
      </c>
      <c r="D4" s="17" t="s">
        <v>63</v>
      </c>
      <c r="E4" s="17" t="s">
        <v>52</v>
      </c>
      <c r="F4" s="17">
        <v>23.5</v>
      </c>
      <c r="G4" s="17">
        <v>0.20300000000000001</v>
      </c>
      <c r="H4" s="17">
        <v>19.899999999999999</v>
      </c>
      <c r="I4" s="17">
        <v>0.98</v>
      </c>
      <c r="J4" s="17">
        <v>55</v>
      </c>
      <c r="K4" s="17">
        <v>163</v>
      </c>
      <c r="L4" s="17">
        <v>21.6</v>
      </c>
      <c r="M4" s="17">
        <v>5</v>
      </c>
      <c r="N4" s="17">
        <v>9</v>
      </c>
      <c r="O4" s="17">
        <v>7</v>
      </c>
      <c r="P4" s="17">
        <v>5</v>
      </c>
      <c r="Q4" s="17">
        <v>50</v>
      </c>
      <c r="R4" s="17">
        <v>153</v>
      </c>
      <c r="S4" s="17">
        <v>40.5</v>
      </c>
      <c r="T4" s="17">
        <v>20.8</v>
      </c>
      <c r="U4" s="107">
        <v>438</v>
      </c>
      <c r="V4" s="17">
        <v>0.86</v>
      </c>
      <c r="W4" s="17">
        <v>7.75</v>
      </c>
      <c r="X4" s="17">
        <v>165</v>
      </c>
      <c r="Y4" s="17">
        <v>171</v>
      </c>
      <c r="Z4" s="17">
        <v>187</v>
      </c>
      <c r="AA4" s="17">
        <v>192</v>
      </c>
      <c r="AB4" s="17">
        <v>9</v>
      </c>
      <c r="AC4" s="17">
        <v>10</v>
      </c>
      <c r="AD4" s="17">
        <v>11</v>
      </c>
      <c r="AE4" s="17">
        <v>12</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1729A-4D8E-45EB-B476-631E2ABF4238}">
  <sheetPr codeName="Sheet4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成田睦生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v>45772</v>
      </c>
      <c r="D4" s="17" t="s">
        <v>72</v>
      </c>
      <c r="E4" s="17" t="s">
        <v>52</v>
      </c>
      <c r="F4" s="17">
        <v>24.1</v>
      </c>
      <c r="G4" s="17">
        <v>0.187</v>
      </c>
      <c r="H4" s="17">
        <v>18</v>
      </c>
      <c r="I4" s="17">
        <v>0.96</v>
      </c>
      <c r="J4" s="17">
        <v>54</v>
      </c>
      <c r="K4" s="17">
        <v>157</v>
      </c>
      <c r="L4" s="17">
        <v>24.8</v>
      </c>
      <c r="M4" s="17">
        <v>6</v>
      </c>
      <c r="N4" s="17">
        <v>10</v>
      </c>
      <c r="O4" s="17">
        <v>5</v>
      </c>
      <c r="P4" s="17">
        <v>8</v>
      </c>
      <c r="Q4" s="17">
        <v>54</v>
      </c>
      <c r="R4" s="17">
        <v>137.9</v>
      </c>
      <c r="S4" s="17">
        <v>28.8</v>
      </c>
      <c r="T4" s="17">
        <v>18.8</v>
      </c>
      <c r="U4" s="107">
        <v>493</v>
      </c>
      <c r="V4" s="17">
        <v>0.9</v>
      </c>
      <c r="W4" s="17">
        <v>7.19</v>
      </c>
      <c r="X4" s="17">
        <v>152</v>
      </c>
      <c r="Y4" s="17">
        <v>155</v>
      </c>
      <c r="Z4" s="17">
        <v>166</v>
      </c>
      <c r="AA4" s="17">
        <v>176</v>
      </c>
      <c r="AB4" s="17">
        <v>8</v>
      </c>
      <c r="AC4" s="17">
        <v>9</v>
      </c>
      <c r="AD4" s="17">
        <v>10</v>
      </c>
      <c r="AE4" s="17">
        <v>11</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59</v>
      </c>
      <c r="E13" s="23" t="s">
        <v>52</v>
      </c>
      <c r="F13" s="23">
        <v>25.5</v>
      </c>
      <c r="G13" s="23">
        <v>0.186</v>
      </c>
      <c r="H13" s="23">
        <v>20.9</v>
      </c>
      <c r="I13" s="23">
        <v>1.1200000000000001</v>
      </c>
      <c r="J13" s="23">
        <v>61</v>
      </c>
      <c r="K13" s="23">
        <v>180</v>
      </c>
      <c r="L13" s="23">
        <v>24.6</v>
      </c>
      <c r="M13" s="23">
        <v>6</v>
      </c>
      <c r="N13" s="23">
        <v>9</v>
      </c>
      <c r="O13" s="23">
        <v>5</v>
      </c>
      <c r="P13" s="23">
        <v>9</v>
      </c>
      <c r="Q13" s="23">
        <v>43</v>
      </c>
      <c r="R13" s="23">
        <v>142.1</v>
      </c>
      <c r="S13" s="23">
        <v>33.4</v>
      </c>
      <c r="T13" s="23">
        <v>19.8</v>
      </c>
      <c r="U13" s="108">
        <v>582</v>
      </c>
      <c r="V13" s="23">
        <v>0.93</v>
      </c>
      <c r="W13" s="23">
        <v>6.58</v>
      </c>
      <c r="X13" s="23">
        <v>157</v>
      </c>
      <c r="Y13" s="23">
        <v>170</v>
      </c>
      <c r="Z13" s="23">
        <v>176</v>
      </c>
      <c r="AA13" s="23">
        <v>179</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18F78-8C60-4048-B940-EE4B7C3D9174}">
  <sheetPr codeName="Sheet4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大森玲奈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45835</v>
      </c>
      <c r="D6" s="13" t="s">
        <v>63</v>
      </c>
      <c r="E6" s="13" t="s">
        <v>65</v>
      </c>
      <c r="F6" s="13">
        <v>27.2</v>
      </c>
      <c r="G6" s="13">
        <v>0.215</v>
      </c>
      <c r="H6" s="13">
        <v>22.1</v>
      </c>
      <c r="I6" s="13">
        <v>1.03</v>
      </c>
      <c r="J6" s="13">
        <v>55</v>
      </c>
      <c r="K6" s="13">
        <v>179</v>
      </c>
      <c r="L6" s="13">
        <v>23.6</v>
      </c>
      <c r="M6" s="13">
        <v>6</v>
      </c>
      <c r="N6" s="13">
        <v>10</v>
      </c>
      <c r="O6" s="13">
        <v>6</v>
      </c>
      <c r="P6" s="13">
        <v>4</v>
      </c>
      <c r="Q6" s="13">
        <v>43</v>
      </c>
      <c r="R6" s="13">
        <v>156.1</v>
      </c>
      <c r="S6" s="13">
        <v>43.9</v>
      </c>
      <c r="T6" s="13">
        <v>20.100000000000001</v>
      </c>
      <c r="U6" s="108">
        <v>516</v>
      </c>
      <c r="V6" s="13">
        <v>0.89</v>
      </c>
      <c r="W6" s="13">
        <v>7.02</v>
      </c>
      <c r="X6" s="13">
        <v>186</v>
      </c>
      <c r="Y6" s="13">
        <v>192</v>
      </c>
      <c r="Z6" s="13">
        <v>198</v>
      </c>
      <c r="AA6" s="13">
        <v>191</v>
      </c>
      <c r="AB6" s="13">
        <v>8</v>
      </c>
      <c r="AC6" s="13">
        <v>9</v>
      </c>
      <c r="AD6" s="13">
        <v>10</v>
      </c>
      <c r="AE6" s="13">
        <v>8</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80</v>
      </c>
      <c r="E10" s="23" t="s">
        <v>65</v>
      </c>
      <c r="F10" s="23">
        <v>24.7</v>
      </c>
      <c r="G10" s="23">
        <v>0.19600000000000001</v>
      </c>
      <c r="H10" s="23">
        <v>17.2</v>
      </c>
      <c r="I10" s="23">
        <v>0.88</v>
      </c>
      <c r="J10" s="23">
        <v>51</v>
      </c>
      <c r="K10" s="23">
        <v>170</v>
      </c>
      <c r="L10" s="23">
        <v>23.7</v>
      </c>
      <c r="M10" s="23">
        <v>6</v>
      </c>
      <c r="N10" s="23">
        <v>10</v>
      </c>
      <c r="O10" s="23">
        <v>6</v>
      </c>
      <c r="P10" s="23">
        <v>6</v>
      </c>
      <c r="Q10" s="23">
        <v>40</v>
      </c>
      <c r="R10" s="23">
        <v>158.4</v>
      </c>
      <c r="S10" s="23">
        <v>41.9</v>
      </c>
      <c r="T10" s="23">
        <v>21.9</v>
      </c>
      <c r="U10" s="108">
        <v>460</v>
      </c>
      <c r="V10" s="23">
        <v>0.85</v>
      </c>
      <c r="W10" s="23">
        <v>7.04</v>
      </c>
      <c r="X10" s="23">
        <v>165</v>
      </c>
      <c r="Y10" s="23">
        <v>174</v>
      </c>
      <c r="Z10" s="23">
        <v>187</v>
      </c>
      <c r="AA10" s="23">
        <v>190</v>
      </c>
      <c r="AB10" s="13">
        <v>7</v>
      </c>
      <c r="AC10" s="13">
        <v>8</v>
      </c>
      <c r="AD10" s="13">
        <v>9</v>
      </c>
      <c r="AE10" s="13">
        <v>10</v>
      </c>
      <c r="AF10" s="14"/>
      <c r="AG10" s="24"/>
    </row>
    <row r="11" spans="1:34" x14ac:dyDescent="0.55000000000000004">
      <c r="A11" s="19">
        <v>2025</v>
      </c>
      <c r="B11" s="20">
        <v>11</v>
      </c>
      <c r="C11" s="106">
        <v>45987</v>
      </c>
      <c r="D11" s="23" t="s">
        <v>80</v>
      </c>
      <c r="E11" s="23" t="s">
        <v>65</v>
      </c>
      <c r="F11" s="23">
        <v>22.4</v>
      </c>
      <c r="G11" s="23">
        <v>0.217</v>
      </c>
      <c r="H11" s="23">
        <v>23.4</v>
      </c>
      <c r="I11" s="23">
        <v>1.08</v>
      </c>
      <c r="J11" s="23">
        <v>47</v>
      </c>
      <c r="K11" s="23">
        <v>171</v>
      </c>
      <c r="L11" s="23">
        <v>22.2</v>
      </c>
      <c r="M11" s="23">
        <v>6</v>
      </c>
      <c r="N11" s="23">
        <v>9</v>
      </c>
      <c r="O11" s="23">
        <v>7</v>
      </c>
      <c r="P11" s="23">
        <v>9</v>
      </c>
      <c r="Q11" s="23">
        <v>57</v>
      </c>
      <c r="R11" s="23">
        <v>158.5</v>
      </c>
      <c r="S11" s="23">
        <v>44.6</v>
      </c>
      <c r="T11" s="23">
        <v>21.7</v>
      </c>
      <c r="U11" s="108">
        <v>479</v>
      </c>
      <c r="V11" s="23">
        <v>0.86</v>
      </c>
      <c r="W11" s="23">
        <v>7.04</v>
      </c>
      <c r="X11" s="23">
        <v>176</v>
      </c>
      <c r="Y11" s="23">
        <v>186</v>
      </c>
      <c r="Z11" s="23">
        <v>192</v>
      </c>
      <c r="AA11" s="23">
        <v>185</v>
      </c>
      <c r="AB11" s="13">
        <v>7</v>
      </c>
      <c r="AC11" s="13">
        <v>8</v>
      </c>
      <c r="AD11" s="13">
        <v>9</v>
      </c>
      <c r="AE11" s="13">
        <v>10</v>
      </c>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7006-5156-44FD-BE15-9D46AFF51606}">
  <sheetPr codeName="Sheet4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川﨑遥斗</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v>45769</v>
      </c>
      <c r="D4" s="17" t="s">
        <v>59</v>
      </c>
      <c r="E4" s="17" t="s">
        <v>52</v>
      </c>
      <c r="F4" s="17">
        <v>27.2</v>
      </c>
      <c r="G4" s="17">
        <v>0.16300000000000001</v>
      </c>
      <c r="H4" s="17">
        <v>20.399999999999999</v>
      </c>
      <c r="I4" s="17">
        <v>1.25</v>
      </c>
      <c r="J4" s="17">
        <v>55</v>
      </c>
      <c r="K4" s="17">
        <v>164</v>
      </c>
      <c r="L4" s="17">
        <v>24.6</v>
      </c>
      <c r="M4" s="17">
        <v>7</v>
      </c>
      <c r="N4" s="17">
        <v>10</v>
      </c>
      <c r="O4" s="17">
        <v>7</v>
      </c>
      <c r="P4" s="17">
        <v>8</v>
      </c>
      <c r="Q4" s="17">
        <v>53</v>
      </c>
      <c r="R4" s="17">
        <v>140.1</v>
      </c>
      <c r="S4" s="17">
        <v>37.700000000000003</v>
      </c>
      <c r="T4" s="17">
        <v>20.2</v>
      </c>
      <c r="U4" s="107">
        <v>356</v>
      </c>
      <c r="V4" s="17">
        <v>0.83</v>
      </c>
      <c r="W4" s="17">
        <v>7.28</v>
      </c>
      <c r="X4" s="17">
        <v>169</v>
      </c>
      <c r="Y4" s="17">
        <v>184</v>
      </c>
      <c r="Z4" s="17">
        <v>191</v>
      </c>
      <c r="AA4" s="17">
        <v>197</v>
      </c>
      <c r="AB4" s="17">
        <v>9</v>
      </c>
      <c r="AC4" s="17">
        <v>10</v>
      </c>
      <c r="AD4" s="17">
        <v>11</v>
      </c>
      <c r="AE4" s="17">
        <v>12</v>
      </c>
      <c r="AF4" s="18"/>
      <c r="AG4" s="15"/>
    </row>
    <row r="5" spans="1:34" x14ac:dyDescent="0.55000000000000004">
      <c r="A5" s="19">
        <v>2025</v>
      </c>
      <c r="B5" s="20">
        <v>5</v>
      </c>
      <c r="C5" s="106">
        <v>45804</v>
      </c>
      <c r="D5" s="13" t="s">
        <v>63</v>
      </c>
      <c r="E5" s="13" t="s">
        <v>52</v>
      </c>
      <c r="F5" s="13">
        <v>26.4</v>
      </c>
      <c r="G5" s="13">
        <v>0.161</v>
      </c>
      <c r="H5" s="13">
        <v>20.8</v>
      </c>
      <c r="I5" s="13">
        <v>1.29</v>
      </c>
      <c r="J5" s="13">
        <v>54</v>
      </c>
      <c r="K5" s="13">
        <v>168</v>
      </c>
      <c r="L5" s="13">
        <v>25.3</v>
      </c>
      <c r="M5" s="13">
        <v>7</v>
      </c>
      <c r="N5" s="13">
        <v>9</v>
      </c>
      <c r="O5" s="13">
        <v>8</v>
      </c>
      <c r="P5" s="13">
        <v>5</v>
      </c>
      <c r="Q5" s="13">
        <v>54</v>
      </c>
      <c r="R5" s="13">
        <v>140.5</v>
      </c>
      <c r="S5" s="13">
        <v>38.4</v>
      </c>
      <c r="T5" s="13">
        <v>20</v>
      </c>
      <c r="U5" s="108">
        <v>376</v>
      </c>
      <c r="V5" s="13">
        <v>0.84</v>
      </c>
      <c r="W5" s="13">
        <v>7</v>
      </c>
      <c r="X5" s="13">
        <v>157</v>
      </c>
      <c r="Y5" s="13">
        <v>171</v>
      </c>
      <c r="Z5" s="13">
        <v>177</v>
      </c>
      <c r="AA5" s="13">
        <v>185</v>
      </c>
      <c r="AB5" s="13">
        <v>8</v>
      </c>
      <c r="AC5" s="13">
        <v>9</v>
      </c>
      <c r="AD5" s="13">
        <v>10</v>
      </c>
      <c r="AE5" s="13">
        <v>11</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63</v>
      </c>
      <c r="E10" s="23" t="s">
        <v>52</v>
      </c>
      <c r="F10" s="23">
        <v>29.8</v>
      </c>
      <c r="G10" s="23">
        <v>0.21</v>
      </c>
      <c r="H10" s="23">
        <v>21</v>
      </c>
      <c r="I10" s="23">
        <v>1</v>
      </c>
      <c r="J10" s="23">
        <v>54</v>
      </c>
      <c r="K10" s="23">
        <v>160</v>
      </c>
      <c r="L10" s="23">
        <v>26.7</v>
      </c>
      <c r="M10" s="23">
        <v>7</v>
      </c>
      <c r="N10" s="23">
        <v>10</v>
      </c>
      <c r="O10" s="23">
        <v>7</v>
      </c>
      <c r="P10" s="23">
        <v>8</v>
      </c>
      <c r="Q10" s="23">
        <v>54</v>
      </c>
      <c r="R10" s="23">
        <v>145.5</v>
      </c>
      <c r="S10" s="23">
        <v>44</v>
      </c>
      <c r="T10" s="23">
        <v>20.8</v>
      </c>
      <c r="U10" s="108">
        <v>438</v>
      </c>
      <c r="V10" s="23">
        <v>0.86</v>
      </c>
      <c r="W10" s="23">
        <v>7.19</v>
      </c>
      <c r="X10" s="23">
        <v>171</v>
      </c>
      <c r="Y10" s="23">
        <v>180</v>
      </c>
      <c r="Z10" s="23">
        <v>184</v>
      </c>
      <c r="AA10" s="23">
        <v>188</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63</v>
      </c>
      <c r="E12" s="23" t="s">
        <v>52</v>
      </c>
      <c r="F12" s="23">
        <v>33.299999999999997</v>
      </c>
      <c r="G12" s="23">
        <v>0.17</v>
      </c>
      <c r="H12" s="23">
        <v>24.8</v>
      </c>
      <c r="I12" s="23">
        <v>1.46</v>
      </c>
      <c r="J12" s="23">
        <v>49</v>
      </c>
      <c r="K12" s="23">
        <v>184</v>
      </c>
      <c r="L12" s="23">
        <v>31.3</v>
      </c>
      <c r="M12" s="23">
        <v>8</v>
      </c>
      <c r="N12" s="23">
        <v>10</v>
      </c>
      <c r="O12" s="23">
        <v>6</v>
      </c>
      <c r="P12" s="23">
        <v>4</v>
      </c>
      <c r="Q12" s="23">
        <v>40</v>
      </c>
      <c r="R12" s="23">
        <v>147.1</v>
      </c>
      <c r="S12" s="23">
        <v>45</v>
      </c>
      <c r="T12" s="23">
        <v>21.7</v>
      </c>
      <c r="U12" s="108">
        <v>548</v>
      </c>
      <c r="V12" s="23">
        <v>0.9</v>
      </c>
      <c r="W12" s="23">
        <v>6.28</v>
      </c>
      <c r="X12" s="23">
        <v>157</v>
      </c>
      <c r="Y12" s="23">
        <v>162</v>
      </c>
      <c r="Z12" s="23">
        <v>162</v>
      </c>
      <c r="AA12" s="23">
        <v>180</v>
      </c>
      <c r="AB12" s="13">
        <v>8</v>
      </c>
      <c r="AC12" s="13">
        <v>9</v>
      </c>
      <c r="AD12" s="13">
        <v>10</v>
      </c>
      <c r="AE12" s="13">
        <v>11</v>
      </c>
      <c r="AF12" s="14"/>
      <c r="AG12" s="24"/>
    </row>
    <row r="13" spans="1:34" x14ac:dyDescent="0.55000000000000004">
      <c r="A13" s="19">
        <v>2025</v>
      </c>
      <c r="B13" s="20">
        <v>1</v>
      </c>
      <c r="C13" s="106">
        <v>46049</v>
      </c>
      <c r="D13" s="23" t="s">
        <v>63</v>
      </c>
      <c r="E13" s="23" t="s">
        <v>52</v>
      </c>
      <c r="F13" s="23">
        <v>32.5</v>
      </c>
      <c r="G13" s="23">
        <v>0.154</v>
      </c>
      <c r="H13" s="23">
        <v>25.8</v>
      </c>
      <c r="I13" s="23">
        <v>1.68</v>
      </c>
      <c r="J13" s="23">
        <v>52</v>
      </c>
      <c r="K13" s="23">
        <v>176</v>
      </c>
      <c r="L13" s="23">
        <v>31.8</v>
      </c>
      <c r="M13" s="23">
        <v>6</v>
      </c>
      <c r="N13" s="23">
        <v>10</v>
      </c>
      <c r="O13" s="23">
        <v>8</v>
      </c>
      <c r="P13" s="23">
        <v>7</v>
      </c>
      <c r="Q13" s="23">
        <v>39</v>
      </c>
      <c r="R13" s="23">
        <v>148.1</v>
      </c>
      <c r="S13" s="23">
        <v>45.3</v>
      </c>
      <c r="T13" s="23">
        <v>21.4</v>
      </c>
      <c r="U13" s="108">
        <v>542</v>
      </c>
      <c r="V13" s="23">
        <v>0.9</v>
      </c>
      <c r="W13" s="23">
        <v>7.22</v>
      </c>
      <c r="X13" s="23">
        <v>165</v>
      </c>
      <c r="Y13" s="23">
        <v>172</v>
      </c>
      <c r="Z13" s="23">
        <v>179</v>
      </c>
      <c r="AA13" s="23">
        <v>185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F620B-CA2E-412F-B19B-19A08F7E4E90}">
  <sheetPr codeName="Sheet4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山本春稀</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v>45751</v>
      </c>
      <c r="D4" s="17" t="s">
        <v>68</v>
      </c>
      <c r="E4" s="17" t="s">
        <v>52</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69</v>
      </c>
      <c r="E5" s="13" t="s">
        <v>52</v>
      </c>
      <c r="F5" s="13">
        <v>20.399999999999999</v>
      </c>
      <c r="G5" s="13">
        <v>0.19700000000000001</v>
      </c>
      <c r="H5" s="13">
        <v>17.2</v>
      </c>
      <c r="I5" s="13">
        <v>0.88</v>
      </c>
      <c r="J5" s="13">
        <v>53</v>
      </c>
      <c r="K5" s="13">
        <v>147</v>
      </c>
      <c r="L5" s="13">
        <v>21.6</v>
      </c>
      <c r="M5" s="13">
        <v>6</v>
      </c>
      <c r="N5" s="13">
        <v>9</v>
      </c>
      <c r="O5" s="13">
        <v>6</v>
      </c>
      <c r="P5" s="13">
        <v>7</v>
      </c>
      <c r="Q5" s="13">
        <v>54</v>
      </c>
      <c r="R5" s="13">
        <v>132.1</v>
      </c>
      <c r="S5" s="13">
        <v>33.5</v>
      </c>
      <c r="T5" s="13">
        <v>18</v>
      </c>
      <c r="U5" s="108">
        <v>455</v>
      </c>
      <c r="V5" s="13">
        <v>0.89</v>
      </c>
      <c r="W5" s="13">
        <v>7.71</v>
      </c>
      <c r="X5" s="13">
        <v>164</v>
      </c>
      <c r="Y5" s="13">
        <v>176</v>
      </c>
      <c r="Z5" s="13">
        <v>185</v>
      </c>
      <c r="AA5" s="13">
        <v>192</v>
      </c>
      <c r="AB5" s="13">
        <v>7</v>
      </c>
      <c r="AC5" s="13">
        <v>8</v>
      </c>
      <c r="AD5" s="13">
        <v>9</v>
      </c>
      <c r="AE5" s="13">
        <v>10</v>
      </c>
      <c r="AF5" s="14"/>
      <c r="AG5" s="15"/>
    </row>
    <row r="6" spans="1:34" x14ac:dyDescent="0.55000000000000004">
      <c r="A6" s="19">
        <v>2025</v>
      </c>
      <c r="B6" s="20">
        <v>6</v>
      </c>
      <c r="C6" s="106">
        <v>45835</v>
      </c>
      <c r="D6" s="13" t="s">
        <v>69</v>
      </c>
      <c r="E6" s="13" t="s">
        <v>52</v>
      </c>
      <c r="F6" s="13">
        <v>21.4</v>
      </c>
      <c r="G6" s="13">
        <v>0.17899999999999999</v>
      </c>
      <c r="H6" s="13">
        <v>17.7</v>
      </c>
      <c r="I6" s="13">
        <v>0.99</v>
      </c>
      <c r="J6" s="13">
        <v>54</v>
      </c>
      <c r="K6" s="13">
        <v>135</v>
      </c>
      <c r="L6" s="13">
        <v>21.4</v>
      </c>
      <c r="M6" s="13">
        <v>6</v>
      </c>
      <c r="N6" s="13">
        <v>10</v>
      </c>
      <c r="O6" s="13">
        <v>7</v>
      </c>
      <c r="P6" s="13">
        <v>8</v>
      </c>
      <c r="Q6" s="13">
        <v>44</v>
      </c>
      <c r="R6" s="13">
        <v>132.6</v>
      </c>
      <c r="S6" s="13">
        <v>34.299999999999997</v>
      </c>
      <c r="T6" s="13">
        <v>18.5</v>
      </c>
      <c r="U6" s="108">
        <v>487</v>
      </c>
      <c r="V6" s="13">
        <v>0.9</v>
      </c>
      <c r="W6" s="13">
        <v>7.32</v>
      </c>
      <c r="X6" s="13">
        <v>167</v>
      </c>
      <c r="Y6" s="13">
        <v>181</v>
      </c>
      <c r="Z6" s="13">
        <v>187</v>
      </c>
      <c r="AA6" s="13">
        <v>193</v>
      </c>
      <c r="AB6" s="13">
        <v>7</v>
      </c>
      <c r="AC6" s="13">
        <v>8</v>
      </c>
      <c r="AD6" s="13">
        <v>9</v>
      </c>
      <c r="AE6" s="13">
        <v>10</v>
      </c>
      <c r="AF6" s="14"/>
      <c r="AG6" s="15"/>
    </row>
    <row r="7" spans="1:34" x14ac:dyDescent="0.55000000000000004">
      <c r="A7" s="19">
        <v>2025</v>
      </c>
      <c r="B7" s="20">
        <v>7</v>
      </c>
      <c r="C7" s="106">
        <v>45863</v>
      </c>
      <c r="D7" s="13" t="s">
        <v>69</v>
      </c>
      <c r="E7" s="13" t="s">
        <v>52</v>
      </c>
      <c r="F7" s="13">
        <v>20.399999999999999</v>
      </c>
      <c r="G7" s="13">
        <v>0.16600000000000001</v>
      </c>
      <c r="H7" s="13">
        <v>16.8</v>
      </c>
      <c r="I7" s="13">
        <v>1.01</v>
      </c>
      <c r="J7" s="13">
        <v>54</v>
      </c>
      <c r="K7" s="13">
        <v>142</v>
      </c>
      <c r="L7" s="13">
        <v>22.1</v>
      </c>
      <c r="M7" s="13">
        <v>6</v>
      </c>
      <c r="N7" s="13">
        <v>10</v>
      </c>
      <c r="O7" s="13">
        <v>7</v>
      </c>
      <c r="P7" s="13">
        <v>8</v>
      </c>
      <c r="Q7" s="13">
        <v>44</v>
      </c>
      <c r="R7" s="13">
        <v>134.6</v>
      </c>
      <c r="S7" s="13">
        <v>55.1</v>
      </c>
      <c r="T7" s="13">
        <v>19</v>
      </c>
      <c r="U7" s="108">
        <v>427</v>
      </c>
      <c r="V7" s="13">
        <v>0.87</v>
      </c>
      <c r="W7" s="13">
        <v>7.33</v>
      </c>
      <c r="X7" s="13">
        <v>168</v>
      </c>
      <c r="Y7" s="13">
        <v>178</v>
      </c>
      <c r="Z7" s="13">
        <v>185</v>
      </c>
      <c r="AA7" s="13">
        <v>190</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69</v>
      </c>
      <c r="E9" s="13" t="s">
        <v>52</v>
      </c>
      <c r="F9" s="13">
        <v>23</v>
      </c>
      <c r="G9" s="13">
        <v>0.185</v>
      </c>
      <c r="H9" s="13">
        <v>15.4</v>
      </c>
      <c r="I9" s="13">
        <v>0.84</v>
      </c>
      <c r="J9" s="13">
        <v>56</v>
      </c>
      <c r="K9" s="13">
        <v>143</v>
      </c>
      <c r="L9" s="13">
        <v>22.7</v>
      </c>
      <c r="M9" s="13">
        <v>8</v>
      </c>
      <c r="N9" s="13">
        <v>10</v>
      </c>
      <c r="O9" s="13">
        <v>10</v>
      </c>
      <c r="P9" s="13">
        <v>9</v>
      </c>
      <c r="Q9" s="13">
        <v>40</v>
      </c>
      <c r="R9" s="13">
        <v>137.4</v>
      </c>
      <c r="S9" s="13">
        <v>39.5</v>
      </c>
      <c r="T9" s="13">
        <v>18.5</v>
      </c>
      <c r="U9" s="108">
        <v>487</v>
      </c>
      <c r="V9" s="22">
        <v>0.9</v>
      </c>
      <c r="W9" s="13">
        <v>7.41</v>
      </c>
      <c r="X9" s="13">
        <v>185</v>
      </c>
      <c r="Y9" s="13">
        <v>194</v>
      </c>
      <c r="Z9" s="13">
        <v>198</v>
      </c>
      <c r="AA9" s="13">
        <v>201</v>
      </c>
      <c r="AB9" s="13">
        <v>8</v>
      </c>
      <c r="AC9" s="13">
        <v>9</v>
      </c>
      <c r="AD9" s="13">
        <v>10</v>
      </c>
      <c r="AE9" s="13">
        <v>11</v>
      </c>
      <c r="AF9" s="14"/>
      <c r="AG9" s="15"/>
    </row>
    <row r="10" spans="1:34" x14ac:dyDescent="0.55000000000000004">
      <c r="A10" s="19">
        <v>2025</v>
      </c>
      <c r="B10" s="20">
        <v>10</v>
      </c>
      <c r="C10" s="106">
        <v>45961</v>
      </c>
      <c r="D10" s="23" t="s">
        <v>69</v>
      </c>
      <c r="E10" s="23" t="s">
        <v>52</v>
      </c>
      <c r="F10" s="23">
        <v>26.3</v>
      </c>
      <c r="G10" s="23">
        <v>0.224</v>
      </c>
      <c r="H10" s="23">
        <v>16.2</v>
      </c>
      <c r="I10" s="23">
        <v>0.72</v>
      </c>
      <c r="J10" s="23">
        <v>52</v>
      </c>
      <c r="K10" s="23">
        <v>140</v>
      </c>
      <c r="L10" s="23">
        <v>24.1</v>
      </c>
      <c r="M10" s="23">
        <v>7</v>
      </c>
      <c r="N10" s="23">
        <v>10</v>
      </c>
      <c r="O10" s="23">
        <v>4</v>
      </c>
      <c r="P10" s="23">
        <v>8</v>
      </c>
      <c r="Q10" s="23">
        <v>40</v>
      </c>
      <c r="R10" s="23">
        <v>134.69999999999999</v>
      </c>
      <c r="S10" s="23">
        <v>33.6</v>
      </c>
      <c r="T10" s="23">
        <v>19.100000000000001</v>
      </c>
      <c r="U10" s="108">
        <v>499</v>
      </c>
      <c r="V10" s="23">
        <v>0.9</v>
      </c>
      <c r="W10" s="23"/>
      <c r="X10" s="23">
        <v>190</v>
      </c>
      <c r="Y10" s="23">
        <v>193</v>
      </c>
      <c r="Z10" s="23">
        <v>196</v>
      </c>
      <c r="AA10" s="23">
        <v>200</v>
      </c>
      <c r="AB10" s="13">
        <v>7</v>
      </c>
      <c r="AC10" s="13">
        <v>8</v>
      </c>
      <c r="AD10" s="13">
        <v>9</v>
      </c>
      <c r="AE10" s="13">
        <v>10</v>
      </c>
      <c r="AF10" s="14"/>
      <c r="AG10" s="24"/>
    </row>
    <row r="11" spans="1:34" x14ac:dyDescent="0.55000000000000004">
      <c r="A11" s="19">
        <v>2025</v>
      </c>
      <c r="B11" s="20">
        <v>11</v>
      </c>
      <c r="C11" s="106">
        <v>45989</v>
      </c>
      <c r="D11" s="23" t="s">
        <v>69</v>
      </c>
      <c r="E11" s="23" t="s">
        <v>52</v>
      </c>
      <c r="F11" s="23">
        <v>25.9</v>
      </c>
      <c r="G11" s="23">
        <v>0.216</v>
      </c>
      <c r="H11" s="23">
        <v>13.9</v>
      </c>
      <c r="I11" s="23">
        <v>0.64</v>
      </c>
      <c r="J11" s="23">
        <v>49</v>
      </c>
      <c r="K11" s="23">
        <v>144</v>
      </c>
      <c r="L11" s="23">
        <v>24.5</v>
      </c>
      <c r="M11" s="23">
        <v>10</v>
      </c>
      <c r="N11" s="23">
        <v>10</v>
      </c>
      <c r="O11" s="23">
        <v>6</v>
      </c>
      <c r="P11" s="23">
        <v>5</v>
      </c>
      <c r="Q11" s="23">
        <v>59</v>
      </c>
      <c r="R11" s="23">
        <v>135.19999999999999</v>
      </c>
      <c r="S11" s="23">
        <v>37.4</v>
      </c>
      <c r="T11" s="23">
        <v>19.399999999999999</v>
      </c>
      <c r="U11" s="108">
        <v>504</v>
      </c>
      <c r="V11" s="23">
        <v>0.9</v>
      </c>
      <c r="W11" s="23">
        <v>6.97</v>
      </c>
      <c r="X11" s="23"/>
      <c r="Y11" s="23"/>
      <c r="Z11" s="23"/>
      <c r="AA11" s="23"/>
      <c r="AB11" s="13"/>
      <c r="AC11" s="13"/>
      <c r="AD11" s="13"/>
      <c r="AE11" s="13"/>
      <c r="AF11" s="14"/>
      <c r="AG11" s="24"/>
    </row>
    <row r="12" spans="1:34" x14ac:dyDescent="0.55000000000000004">
      <c r="A12" s="19">
        <v>2025</v>
      </c>
      <c r="B12" s="20">
        <v>12</v>
      </c>
      <c r="C12" s="106">
        <v>46017</v>
      </c>
      <c r="D12" s="23" t="s">
        <v>69</v>
      </c>
      <c r="E12" s="23" t="s">
        <v>52</v>
      </c>
      <c r="F12" s="23">
        <v>23.9</v>
      </c>
      <c r="G12" s="23">
        <v>0.185</v>
      </c>
      <c r="H12" s="23">
        <v>15</v>
      </c>
      <c r="I12" s="23">
        <v>0.8</v>
      </c>
      <c r="J12" s="23">
        <v>55</v>
      </c>
      <c r="K12" s="23">
        <v>146</v>
      </c>
      <c r="L12" s="23">
        <v>26.6</v>
      </c>
      <c r="M12" s="23">
        <v>6</v>
      </c>
      <c r="N12" s="23">
        <v>9</v>
      </c>
      <c r="O12" s="23">
        <v>4</v>
      </c>
      <c r="P12" s="23">
        <v>10</v>
      </c>
      <c r="Q12" s="23">
        <v>40</v>
      </c>
      <c r="R12" s="23">
        <v>136.30000000000001</v>
      </c>
      <c r="S12" s="23">
        <v>35.9</v>
      </c>
      <c r="T12" s="23">
        <v>20.2</v>
      </c>
      <c r="U12" s="108">
        <v>520</v>
      </c>
      <c r="V12" s="23">
        <v>0.9</v>
      </c>
      <c r="W12" s="23">
        <v>7.08</v>
      </c>
      <c r="X12" s="23">
        <v>168</v>
      </c>
      <c r="Y12" s="23">
        <v>174</v>
      </c>
      <c r="Z12" s="23">
        <v>181</v>
      </c>
      <c r="AA12" s="23">
        <v>187</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93218-73D9-4AD9-9E5E-C0EA6B15547D}">
  <sheetPr codeName="Sheet44">
    <tabColor rgb="FFFF0000"/>
    <pageSetUpPr fitToPage="1"/>
  </sheetPr>
  <dimension ref="A1:AH44"/>
  <sheetViews>
    <sheetView topLeftCell="A12"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武田寛生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v>45763</v>
      </c>
      <c r="D4" s="17" t="s">
        <v>61</v>
      </c>
      <c r="E4" s="17" t="s">
        <v>52</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63</v>
      </c>
      <c r="E11" s="23" t="s">
        <v>52</v>
      </c>
      <c r="F11" s="23">
        <v>27.8</v>
      </c>
      <c r="G11" s="23">
        <v>0.16600000000000001</v>
      </c>
      <c r="H11" s="23">
        <v>22.5</v>
      </c>
      <c r="I11" s="23">
        <v>1.35</v>
      </c>
      <c r="J11" s="23">
        <v>53</v>
      </c>
      <c r="K11" s="23">
        <v>166</v>
      </c>
      <c r="L11" s="23">
        <v>25.5</v>
      </c>
      <c r="M11" s="23">
        <v>7</v>
      </c>
      <c r="N11" s="23">
        <v>9</v>
      </c>
      <c r="O11" s="23">
        <v>7</v>
      </c>
      <c r="P11" s="23">
        <v>8</v>
      </c>
      <c r="Q11" s="23">
        <v>45</v>
      </c>
      <c r="R11" s="23">
        <v>140</v>
      </c>
      <c r="S11" s="23">
        <v>32.6</v>
      </c>
      <c r="T11" s="23">
        <v>19.100000000000001</v>
      </c>
      <c r="U11" s="108">
        <v>429</v>
      </c>
      <c r="V11" s="23">
        <v>0.87</v>
      </c>
      <c r="W11" s="23">
        <v>6.12</v>
      </c>
      <c r="X11" s="23">
        <v>156</v>
      </c>
      <c r="Y11" s="23">
        <v>167</v>
      </c>
      <c r="Z11" s="23">
        <v>178</v>
      </c>
      <c r="AA11" s="23">
        <v>183</v>
      </c>
      <c r="AB11" s="13">
        <v>8</v>
      </c>
      <c r="AC11" s="13">
        <v>9</v>
      </c>
      <c r="AD11" s="13">
        <v>10</v>
      </c>
      <c r="AE11" s="13">
        <v>11</v>
      </c>
      <c r="AF11" s="14"/>
      <c r="AG11" s="24"/>
    </row>
    <row r="12" spans="1:34" x14ac:dyDescent="0.55000000000000004">
      <c r="A12" s="19">
        <v>2025</v>
      </c>
      <c r="B12" s="20">
        <v>12</v>
      </c>
      <c r="C12" s="106">
        <v>46015</v>
      </c>
      <c r="D12" s="23" t="s">
        <v>63</v>
      </c>
      <c r="E12" s="23" t="s">
        <v>52</v>
      </c>
      <c r="F12" s="23">
        <v>31.1</v>
      </c>
      <c r="G12" s="23">
        <v>0.16600000000000001</v>
      </c>
      <c r="H12" s="23">
        <v>23.8</v>
      </c>
      <c r="I12" s="23">
        <v>1.44</v>
      </c>
      <c r="J12" s="23">
        <v>50</v>
      </c>
      <c r="K12" s="23">
        <v>177</v>
      </c>
      <c r="L12" s="23">
        <v>28</v>
      </c>
      <c r="M12" s="23">
        <v>8</v>
      </c>
      <c r="N12" s="23">
        <v>9</v>
      </c>
      <c r="O12" s="23">
        <v>6</v>
      </c>
      <c r="P12" s="23">
        <v>7</v>
      </c>
      <c r="Q12" s="23">
        <v>48</v>
      </c>
      <c r="R12" s="23">
        <v>142.30000000000001</v>
      </c>
      <c r="S12" s="23">
        <v>32.9</v>
      </c>
      <c r="T12" s="23">
        <v>20.6</v>
      </c>
      <c r="U12" s="108">
        <v>457</v>
      </c>
      <c r="V12" s="23">
        <v>0.87</v>
      </c>
      <c r="W12" s="23">
        <v>6.22</v>
      </c>
      <c r="X12" s="23">
        <v>162</v>
      </c>
      <c r="Y12" s="23">
        <v>172</v>
      </c>
      <c r="Z12" s="23">
        <v>187</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820BA-FEDD-4C79-8318-38C1CDCAF964}">
  <sheetPr codeName="Sheet4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南木琥太郎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68</v>
      </c>
      <c r="E5" s="13" t="s">
        <v>52</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69</v>
      </c>
      <c r="E6" s="13" t="s">
        <v>52</v>
      </c>
      <c r="F6" s="13">
        <v>25</v>
      </c>
      <c r="G6" s="13">
        <v>0.217</v>
      </c>
      <c r="H6" s="13">
        <v>18.399999999999999</v>
      </c>
      <c r="I6" s="13">
        <v>0.85</v>
      </c>
      <c r="J6" s="13">
        <v>47</v>
      </c>
      <c r="K6" s="13">
        <v>153</v>
      </c>
      <c r="L6" s="13">
        <v>22</v>
      </c>
      <c r="M6" s="13">
        <v>6</v>
      </c>
      <c r="N6" s="13">
        <v>8</v>
      </c>
      <c r="O6" s="13">
        <v>5</v>
      </c>
      <c r="P6" s="13">
        <v>7</v>
      </c>
      <c r="Q6" s="13">
        <v>51</v>
      </c>
      <c r="R6" s="13">
        <v>134.69999999999999</v>
      </c>
      <c r="S6" s="13">
        <v>31.7</v>
      </c>
      <c r="T6" s="13">
        <v>17.2</v>
      </c>
      <c r="U6" s="108">
        <v>509</v>
      </c>
      <c r="V6" s="13">
        <v>0.92</v>
      </c>
      <c r="W6" s="13">
        <v>7.46</v>
      </c>
      <c r="X6" s="13">
        <v>157</v>
      </c>
      <c r="Y6" s="13">
        <v>161</v>
      </c>
      <c r="Z6" s="13">
        <v>174</v>
      </c>
      <c r="AA6" s="13">
        <v>181</v>
      </c>
      <c r="AB6" s="13">
        <v>7</v>
      </c>
      <c r="AC6" s="13">
        <v>8</v>
      </c>
      <c r="AD6" s="13">
        <v>9</v>
      </c>
      <c r="AE6" s="13">
        <v>10</v>
      </c>
      <c r="AF6" s="14"/>
      <c r="AG6" s="15"/>
    </row>
    <row r="7" spans="1:34" x14ac:dyDescent="0.55000000000000004">
      <c r="A7" s="19">
        <v>2025</v>
      </c>
      <c r="B7" s="20">
        <v>7</v>
      </c>
      <c r="C7" s="106">
        <v>45859</v>
      </c>
      <c r="D7" s="13" t="s">
        <v>69</v>
      </c>
      <c r="E7" s="13" t="s">
        <v>52</v>
      </c>
      <c r="F7" s="13">
        <v>26.5</v>
      </c>
      <c r="G7" s="13">
        <v>0.189</v>
      </c>
      <c r="H7" s="13">
        <v>19.8</v>
      </c>
      <c r="I7" s="13">
        <v>1.05</v>
      </c>
      <c r="J7" s="13">
        <v>47</v>
      </c>
      <c r="K7" s="13">
        <v>159</v>
      </c>
      <c r="L7" s="13">
        <v>22</v>
      </c>
      <c r="M7" s="13">
        <v>5</v>
      </c>
      <c r="N7" s="13">
        <v>10</v>
      </c>
      <c r="O7" s="13">
        <v>6</v>
      </c>
      <c r="P7" s="13">
        <v>6</v>
      </c>
      <c r="Q7" s="13">
        <v>46</v>
      </c>
      <c r="R7" s="13">
        <v>135.19999999999999</v>
      </c>
      <c r="S7" s="13">
        <v>31.2</v>
      </c>
      <c r="T7" s="13">
        <v>18.100000000000001</v>
      </c>
      <c r="U7" s="108">
        <v>456</v>
      </c>
      <c r="V7" s="13">
        <v>0.89</v>
      </c>
      <c r="W7" s="13">
        <v>7.3</v>
      </c>
      <c r="X7" s="13">
        <v>164</v>
      </c>
      <c r="Y7" s="13">
        <v>175</v>
      </c>
      <c r="Z7" s="13">
        <v>180</v>
      </c>
      <c r="AA7" s="13">
        <v>184</v>
      </c>
      <c r="AB7" s="13">
        <v>8</v>
      </c>
      <c r="AC7" s="13">
        <v>9</v>
      </c>
      <c r="AD7" s="13">
        <v>10</v>
      </c>
      <c r="AE7" s="13">
        <v>11</v>
      </c>
      <c r="AF7" s="14"/>
      <c r="AG7" s="15"/>
    </row>
    <row r="8" spans="1:34" x14ac:dyDescent="0.55000000000000004">
      <c r="A8" s="19">
        <v>2025</v>
      </c>
      <c r="B8" s="20">
        <v>8</v>
      </c>
      <c r="C8" s="106">
        <v>45894</v>
      </c>
      <c r="D8" s="13" t="s">
        <v>69</v>
      </c>
      <c r="E8" s="13" t="s">
        <v>52</v>
      </c>
      <c r="F8" s="13">
        <v>26.5</v>
      </c>
      <c r="G8" s="13">
        <v>0.221</v>
      </c>
      <c r="H8" s="13">
        <v>19.600000000000001</v>
      </c>
      <c r="I8" s="13">
        <v>0.89</v>
      </c>
      <c r="J8" s="13">
        <v>49</v>
      </c>
      <c r="K8" s="13">
        <v>150</v>
      </c>
      <c r="L8" s="13">
        <v>23.5</v>
      </c>
      <c r="M8" s="13">
        <v>5</v>
      </c>
      <c r="N8" s="13">
        <v>10</v>
      </c>
      <c r="O8" s="13">
        <v>6</v>
      </c>
      <c r="P8" s="13">
        <v>5</v>
      </c>
      <c r="Q8" s="13">
        <v>46</v>
      </c>
      <c r="R8" s="13">
        <v>135.4</v>
      </c>
      <c r="S8" s="13">
        <v>32.6</v>
      </c>
      <c r="T8" s="13">
        <v>18.899999999999999</v>
      </c>
      <c r="U8" s="108">
        <v>448</v>
      </c>
      <c r="V8" s="13">
        <v>0.88</v>
      </c>
      <c r="W8" s="13">
        <v>7.06</v>
      </c>
      <c r="X8" s="13">
        <v>159</v>
      </c>
      <c r="Y8" s="13">
        <v>165</v>
      </c>
      <c r="Z8" s="13">
        <v>172</v>
      </c>
      <c r="AA8" s="13">
        <v>182</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72</v>
      </c>
      <c r="E11" s="23" t="s">
        <v>52</v>
      </c>
      <c r="F11" s="23">
        <v>24.8</v>
      </c>
      <c r="G11" s="23">
        <v>0.19600000000000001</v>
      </c>
      <c r="H11" s="23">
        <v>18.100000000000001</v>
      </c>
      <c r="I11" s="23">
        <v>0.92</v>
      </c>
      <c r="J11" s="23">
        <v>50</v>
      </c>
      <c r="K11" s="23">
        <v>143</v>
      </c>
      <c r="L11" s="23">
        <v>22.6</v>
      </c>
      <c r="M11" s="23">
        <v>5</v>
      </c>
      <c r="N11" s="23">
        <v>8</v>
      </c>
      <c r="O11" s="23">
        <v>5</v>
      </c>
      <c r="P11" s="23">
        <v>6</v>
      </c>
      <c r="Q11" s="23">
        <v>47</v>
      </c>
      <c r="R11" s="23">
        <v>136.6</v>
      </c>
      <c r="S11" s="23">
        <v>32</v>
      </c>
      <c r="T11" s="23">
        <v>18</v>
      </c>
      <c r="U11" s="108">
        <v>385</v>
      </c>
      <c r="V11" s="23">
        <v>0.86</v>
      </c>
      <c r="W11" s="23">
        <v>6.83</v>
      </c>
      <c r="X11" s="23">
        <v>153</v>
      </c>
      <c r="Y11" s="23">
        <v>167</v>
      </c>
      <c r="Z11" s="23">
        <v>172</v>
      </c>
      <c r="AA11" s="23">
        <v>173</v>
      </c>
      <c r="AB11" s="13">
        <v>7</v>
      </c>
      <c r="AC11" s="13">
        <v>8</v>
      </c>
      <c r="AD11" s="13">
        <v>9</v>
      </c>
      <c r="AE11" s="13">
        <v>10</v>
      </c>
      <c r="AF11" s="14"/>
      <c r="AG11" s="24"/>
    </row>
    <row r="12" spans="1:34" x14ac:dyDescent="0.55000000000000004">
      <c r="A12" s="19">
        <v>2025</v>
      </c>
      <c r="B12" s="20">
        <v>12</v>
      </c>
      <c r="C12" s="106">
        <v>46013</v>
      </c>
      <c r="D12" s="23" t="s">
        <v>72</v>
      </c>
      <c r="E12" s="23" t="s">
        <v>52</v>
      </c>
      <c r="F12" s="23">
        <v>26.7</v>
      </c>
      <c r="G12" s="23">
        <v>0.19400000000000001</v>
      </c>
      <c r="H12" s="23">
        <v>21.4</v>
      </c>
      <c r="I12" s="23">
        <v>1.1000000000000001</v>
      </c>
      <c r="J12" s="23">
        <v>52</v>
      </c>
      <c r="K12" s="23">
        <v>151</v>
      </c>
      <c r="L12" s="23">
        <v>23</v>
      </c>
      <c r="M12" s="23">
        <v>4</v>
      </c>
      <c r="N12" s="23">
        <v>10</v>
      </c>
      <c r="O12" s="23">
        <v>10</v>
      </c>
      <c r="P12" s="23">
        <v>5</v>
      </c>
      <c r="Q12" s="23">
        <v>43</v>
      </c>
      <c r="R12" s="23">
        <v>137.69999999999999</v>
      </c>
      <c r="S12" s="23">
        <v>32.9</v>
      </c>
      <c r="T12" s="23">
        <v>18.600000000000001</v>
      </c>
      <c r="U12" s="108">
        <v>396</v>
      </c>
      <c r="V12" s="23">
        <v>0.86</v>
      </c>
      <c r="W12" s="23">
        <v>6.88</v>
      </c>
      <c r="X12" s="23">
        <v>147</v>
      </c>
      <c r="Y12" s="23">
        <v>162</v>
      </c>
      <c r="Z12" s="23">
        <v>172</v>
      </c>
      <c r="AA12" s="23">
        <v>176</v>
      </c>
      <c r="AB12" s="13">
        <v>7</v>
      </c>
      <c r="AC12" s="13">
        <v>8</v>
      </c>
      <c r="AD12" s="13">
        <v>9</v>
      </c>
      <c r="AE12" s="13">
        <v>10</v>
      </c>
      <c r="AF12" s="14"/>
      <c r="AG12" s="24"/>
    </row>
    <row r="13" spans="1:34" x14ac:dyDescent="0.55000000000000004">
      <c r="A13" s="19">
        <v>2025</v>
      </c>
      <c r="B13" s="20">
        <v>1</v>
      </c>
      <c r="C13" s="106">
        <v>46048</v>
      </c>
      <c r="D13" s="23" t="s">
        <v>72</v>
      </c>
      <c r="E13" s="23" t="s">
        <v>52</v>
      </c>
      <c r="F13" s="23">
        <v>27.3</v>
      </c>
      <c r="G13" s="23">
        <v>0.20100000000000001</v>
      </c>
      <c r="H13" s="23">
        <v>21.5</v>
      </c>
      <c r="I13" s="23">
        <v>1.07</v>
      </c>
      <c r="J13" s="23">
        <v>48</v>
      </c>
      <c r="K13" s="23">
        <v>153</v>
      </c>
      <c r="L13" s="23">
        <v>25.5</v>
      </c>
      <c r="M13" s="23">
        <v>5</v>
      </c>
      <c r="N13" s="23">
        <v>9</v>
      </c>
      <c r="O13" s="23">
        <v>7</v>
      </c>
      <c r="P13" s="23">
        <v>5</v>
      </c>
      <c r="Q13" s="23">
        <v>44</v>
      </c>
      <c r="R13" s="23">
        <v>138.19999999999999</v>
      </c>
      <c r="S13" s="23">
        <v>34.4</v>
      </c>
      <c r="T13" s="23">
        <v>20.399999999999999</v>
      </c>
      <c r="U13" s="108">
        <v>453</v>
      </c>
      <c r="V13" s="23">
        <v>0.87</v>
      </c>
      <c r="W13" s="23">
        <v>6.7</v>
      </c>
      <c r="X13" s="23">
        <v>161</v>
      </c>
      <c r="Y13" s="23">
        <v>170</v>
      </c>
      <c r="Z13" s="23">
        <v>181</v>
      </c>
      <c r="AA13" s="23">
        <v>185</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DE571-F8E0-4B3C-B2CA-667F940B776C}">
  <sheetPr codeName="Sheet46">
    <tabColor rgb="FFFF0000"/>
    <pageSetUpPr fitToPage="1"/>
  </sheetPr>
  <dimension ref="A1:AH44"/>
  <sheetViews>
    <sheetView topLeftCell="A11" zoomScaleNormal="100" workbookViewId="0">
      <selection activeCell="C24" sqref="C24:AE2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南木こころ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83</v>
      </c>
      <c r="E5" s="13" t="s">
        <v>65</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84</v>
      </c>
      <c r="E6" s="13" t="s">
        <v>65</v>
      </c>
      <c r="F6" s="13">
        <v>21.8</v>
      </c>
      <c r="G6" s="13">
        <v>0.19</v>
      </c>
      <c r="H6" s="13">
        <v>23.1</v>
      </c>
      <c r="I6" s="13">
        <v>1.22</v>
      </c>
      <c r="J6" s="13">
        <v>45</v>
      </c>
      <c r="K6" s="13">
        <v>153</v>
      </c>
      <c r="L6" s="13">
        <v>20.3</v>
      </c>
      <c r="M6" s="13">
        <v>5</v>
      </c>
      <c r="N6" s="13">
        <v>9</v>
      </c>
      <c r="O6" s="13">
        <v>4</v>
      </c>
      <c r="P6" s="13">
        <v>6</v>
      </c>
      <c r="Q6" s="13">
        <v>50</v>
      </c>
      <c r="R6" s="13">
        <v>127</v>
      </c>
      <c r="S6" s="13">
        <v>26.8</v>
      </c>
      <c r="T6" s="13">
        <v>17.3</v>
      </c>
      <c r="U6" s="108">
        <v>552</v>
      </c>
      <c r="V6" s="13">
        <v>0.93</v>
      </c>
      <c r="W6" s="13">
        <v>7.28</v>
      </c>
      <c r="X6" s="13">
        <v>157</v>
      </c>
      <c r="Y6" s="13">
        <v>170</v>
      </c>
      <c r="Z6" s="13">
        <v>181</v>
      </c>
      <c r="AA6" s="13">
        <v>187</v>
      </c>
      <c r="AB6" s="13">
        <v>7</v>
      </c>
      <c r="AC6" s="13">
        <v>8</v>
      </c>
      <c r="AD6" s="13">
        <v>9</v>
      </c>
      <c r="AE6" s="13">
        <v>10</v>
      </c>
      <c r="AF6" s="14"/>
      <c r="AG6" s="15"/>
    </row>
    <row r="7" spans="1:34" x14ac:dyDescent="0.55000000000000004">
      <c r="A7" s="19">
        <v>2025</v>
      </c>
      <c r="B7" s="20">
        <v>7</v>
      </c>
      <c r="C7" s="106">
        <v>45859</v>
      </c>
      <c r="D7" s="13" t="s">
        <v>84</v>
      </c>
      <c r="E7" s="13" t="s">
        <v>65</v>
      </c>
      <c r="F7" s="13">
        <v>22</v>
      </c>
      <c r="G7" s="13">
        <v>0.17799999999999999</v>
      </c>
      <c r="H7" s="13">
        <v>22.2</v>
      </c>
      <c r="I7" s="13">
        <v>1.25</v>
      </c>
      <c r="J7" s="13">
        <v>47</v>
      </c>
      <c r="K7" s="13">
        <v>143</v>
      </c>
      <c r="L7" s="13">
        <v>21</v>
      </c>
      <c r="M7" s="13">
        <v>4</v>
      </c>
      <c r="N7" s="13">
        <v>9</v>
      </c>
      <c r="O7" s="13">
        <v>4</v>
      </c>
      <c r="P7" s="13">
        <v>6</v>
      </c>
      <c r="Q7" s="13">
        <v>50</v>
      </c>
      <c r="R7" s="13">
        <v>127</v>
      </c>
      <c r="S7" s="13">
        <v>25.4</v>
      </c>
      <c r="T7" s="13">
        <v>17.3</v>
      </c>
      <c r="U7" s="108">
        <v>435</v>
      </c>
      <c r="V7" s="13">
        <v>0.88</v>
      </c>
      <c r="W7" s="13">
        <v>7.75</v>
      </c>
      <c r="X7" s="13">
        <v>164</v>
      </c>
      <c r="Y7" s="13">
        <v>169</v>
      </c>
      <c r="Z7" s="13">
        <v>175</v>
      </c>
      <c r="AA7" s="13">
        <v>183</v>
      </c>
      <c r="AB7" s="13">
        <v>8</v>
      </c>
      <c r="AC7" s="13">
        <v>9</v>
      </c>
      <c r="AD7" s="13">
        <v>10</v>
      </c>
      <c r="AE7" s="13">
        <v>11</v>
      </c>
      <c r="AF7" s="14"/>
      <c r="AG7" s="15"/>
    </row>
    <row r="8" spans="1:34" x14ac:dyDescent="0.55000000000000004">
      <c r="A8" s="19">
        <v>2025</v>
      </c>
      <c r="B8" s="20">
        <v>8</v>
      </c>
      <c r="C8" s="106">
        <v>45894</v>
      </c>
      <c r="D8" s="13" t="s">
        <v>84</v>
      </c>
      <c r="E8" s="13" t="s">
        <v>65</v>
      </c>
      <c r="F8" s="13">
        <v>24.3</v>
      </c>
      <c r="G8" s="13">
        <v>0.17499999999999999</v>
      </c>
      <c r="H8" s="13">
        <v>21.6</v>
      </c>
      <c r="I8" s="13">
        <v>1.24</v>
      </c>
      <c r="J8" s="13">
        <v>50</v>
      </c>
      <c r="K8" s="13">
        <v>143</v>
      </c>
      <c r="L8" s="13">
        <v>23.1</v>
      </c>
      <c r="M8" s="13">
        <v>5</v>
      </c>
      <c r="N8" s="13">
        <v>10</v>
      </c>
      <c r="O8" s="13">
        <v>5</v>
      </c>
      <c r="P8" s="13">
        <v>7</v>
      </c>
      <c r="Q8" s="13">
        <v>47</v>
      </c>
      <c r="R8" s="13">
        <v>128.1</v>
      </c>
      <c r="S8" s="13">
        <v>26.9</v>
      </c>
      <c r="T8" s="13">
        <v>18.3</v>
      </c>
      <c r="U8" s="108">
        <v>479</v>
      </c>
      <c r="V8" s="13">
        <v>0.89</v>
      </c>
      <c r="W8" s="13">
        <v>6.76</v>
      </c>
      <c r="X8" s="13">
        <v>161</v>
      </c>
      <c r="Y8" s="13">
        <v>174</v>
      </c>
      <c r="Z8" s="13">
        <v>181</v>
      </c>
      <c r="AA8" s="13">
        <v>186</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84</v>
      </c>
      <c r="E10" s="23" t="s">
        <v>65</v>
      </c>
      <c r="F10" s="23">
        <v>26.4</v>
      </c>
      <c r="G10" s="23">
        <v>0.16600000000000001</v>
      </c>
      <c r="H10" s="23">
        <v>23.6</v>
      </c>
      <c r="I10" s="23">
        <v>1.42</v>
      </c>
      <c r="J10" s="23">
        <v>52</v>
      </c>
      <c r="K10" s="23">
        <v>149</v>
      </c>
      <c r="L10" s="23">
        <v>26.5</v>
      </c>
      <c r="M10" s="23">
        <v>6</v>
      </c>
      <c r="N10" s="23">
        <v>5</v>
      </c>
      <c r="O10" s="23">
        <v>7</v>
      </c>
      <c r="P10" s="23">
        <v>4</v>
      </c>
      <c r="Q10" s="23">
        <v>47</v>
      </c>
      <c r="R10" s="23">
        <v>129.5</v>
      </c>
      <c r="S10" s="23">
        <v>27.6</v>
      </c>
      <c r="T10" s="23">
        <v>17.5</v>
      </c>
      <c r="U10" s="108">
        <v>370</v>
      </c>
      <c r="V10" s="23">
        <v>0.85</v>
      </c>
      <c r="W10" s="23">
        <v>7.25</v>
      </c>
      <c r="X10" s="23">
        <v>164</v>
      </c>
      <c r="Y10" s="23">
        <v>175</v>
      </c>
      <c r="Z10" s="23">
        <v>182</v>
      </c>
      <c r="AA10" s="23">
        <v>185</v>
      </c>
      <c r="AB10" s="13">
        <v>7</v>
      </c>
      <c r="AC10" s="13">
        <v>8</v>
      </c>
      <c r="AD10" s="13">
        <v>9</v>
      </c>
      <c r="AE10" s="13">
        <v>10</v>
      </c>
      <c r="AF10" s="14"/>
      <c r="AG10" s="24"/>
    </row>
    <row r="11" spans="1:34" x14ac:dyDescent="0.55000000000000004">
      <c r="A11" s="19">
        <v>2025</v>
      </c>
      <c r="B11" s="20">
        <v>11</v>
      </c>
      <c r="C11" s="106">
        <v>45978</v>
      </c>
      <c r="D11" s="23" t="s">
        <v>69</v>
      </c>
      <c r="E11" s="23" t="s">
        <v>65</v>
      </c>
      <c r="F11" s="23">
        <v>24.9</v>
      </c>
      <c r="G11" s="23">
        <v>0.186</v>
      </c>
      <c r="H11" s="23">
        <v>21.5</v>
      </c>
      <c r="I11" s="23">
        <v>1.1599999999999999</v>
      </c>
      <c r="J11" s="23">
        <v>51</v>
      </c>
      <c r="K11" s="23">
        <v>156</v>
      </c>
      <c r="L11" s="23">
        <v>22.9</v>
      </c>
      <c r="M11" s="23">
        <v>5</v>
      </c>
      <c r="N11" s="23">
        <v>10</v>
      </c>
      <c r="O11" s="23">
        <v>7</v>
      </c>
      <c r="P11" s="23">
        <v>7</v>
      </c>
      <c r="Q11" s="23">
        <v>47</v>
      </c>
      <c r="R11" s="23">
        <v>130</v>
      </c>
      <c r="S11" s="23">
        <v>27.8</v>
      </c>
      <c r="T11" s="23">
        <v>17.600000000000001</v>
      </c>
      <c r="U11" s="108">
        <v>465</v>
      </c>
      <c r="V11" s="23">
        <v>0.89</v>
      </c>
      <c r="W11" s="23">
        <v>6.97</v>
      </c>
      <c r="X11" s="23">
        <v>163</v>
      </c>
      <c r="Y11" s="23">
        <v>176</v>
      </c>
      <c r="Z11" s="23">
        <v>182</v>
      </c>
      <c r="AA11" s="23">
        <v>183</v>
      </c>
      <c r="AB11" s="13">
        <v>7</v>
      </c>
      <c r="AC11" s="13">
        <v>8</v>
      </c>
      <c r="AD11" s="13">
        <v>9</v>
      </c>
      <c r="AE11" s="13">
        <v>10</v>
      </c>
      <c r="AF11" s="14"/>
      <c r="AG11" s="24"/>
    </row>
    <row r="12" spans="1:34" x14ac:dyDescent="0.55000000000000004">
      <c r="A12" s="19">
        <v>2025</v>
      </c>
      <c r="B12" s="20">
        <v>12</v>
      </c>
      <c r="C12" s="106">
        <v>46013</v>
      </c>
      <c r="D12" s="23" t="s">
        <v>69</v>
      </c>
      <c r="E12" s="23" t="s">
        <v>65</v>
      </c>
      <c r="F12" s="23">
        <v>29.2</v>
      </c>
      <c r="G12" s="23">
        <v>0.161</v>
      </c>
      <c r="H12" s="23">
        <v>23.6</v>
      </c>
      <c r="I12" s="23">
        <v>1.47</v>
      </c>
      <c r="J12" s="23">
        <v>50</v>
      </c>
      <c r="K12" s="23">
        <v>151</v>
      </c>
      <c r="L12" s="23">
        <v>27.3</v>
      </c>
      <c r="M12" s="23">
        <v>7</v>
      </c>
      <c r="N12" s="23">
        <v>10</v>
      </c>
      <c r="O12" s="23">
        <v>7</v>
      </c>
      <c r="P12" s="23">
        <v>9</v>
      </c>
      <c r="Q12" s="23">
        <v>46</v>
      </c>
      <c r="R12" s="23">
        <v>130</v>
      </c>
      <c r="S12" s="23">
        <v>28</v>
      </c>
      <c r="T12" s="23">
        <v>18</v>
      </c>
      <c r="U12" s="108">
        <v>473</v>
      </c>
      <c r="V12" s="23">
        <v>0.89</v>
      </c>
      <c r="W12" s="23">
        <v>7.16</v>
      </c>
      <c r="X12" s="23">
        <v>160</v>
      </c>
      <c r="Y12" s="23">
        <v>166</v>
      </c>
      <c r="Z12" s="23">
        <v>176</v>
      </c>
      <c r="AA12" s="23">
        <v>177</v>
      </c>
      <c r="AB12" s="13">
        <v>7</v>
      </c>
      <c r="AC12" s="13">
        <v>8</v>
      </c>
      <c r="AD12" s="13">
        <v>9</v>
      </c>
      <c r="AE12" s="13">
        <v>10</v>
      </c>
      <c r="AF12" s="14"/>
      <c r="AG12" s="24"/>
    </row>
    <row r="13" spans="1:34" x14ac:dyDescent="0.55000000000000004">
      <c r="A13" s="19">
        <v>2025</v>
      </c>
      <c r="B13" s="20">
        <v>1</v>
      </c>
      <c r="C13" s="106">
        <v>46048</v>
      </c>
      <c r="D13" s="23" t="s">
        <v>69</v>
      </c>
      <c r="E13" s="23" t="s">
        <v>65</v>
      </c>
      <c r="F13" s="23">
        <v>26.2</v>
      </c>
      <c r="G13" s="23">
        <v>0.17899999999999999</v>
      </c>
      <c r="H13" s="23">
        <v>20.2</v>
      </c>
      <c r="I13" s="23">
        <v>1.1299999999999999</v>
      </c>
      <c r="J13" s="23">
        <v>48</v>
      </c>
      <c r="K13" s="23">
        <v>151</v>
      </c>
      <c r="L13" s="23">
        <v>27</v>
      </c>
      <c r="M13" s="23">
        <v>5</v>
      </c>
      <c r="N13" s="23">
        <v>10</v>
      </c>
      <c r="O13" s="23">
        <v>6</v>
      </c>
      <c r="P13" s="23">
        <v>5</v>
      </c>
      <c r="Q13" s="23">
        <v>44</v>
      </c>
      <c r="R13" s="23">
        <v>130.5</v>
      </c>
      <c r="S13" s="23">
        <v>28.4</v>
      </c>
      <c r="T13" s="23">
        <v>18.7</v>
      </c>
      <c r="U13" s="108">
        <v>534</v>
      </c>
      <c r="V13" s="23">
        <v>0.91</v>
      </c>
      <c r="W13" s="23">
        <v>6.78</v>
      </c>
      <c r="X13" s="23">
        <v>161</v>
      </c>
      <c r="Y13" s="23">
        <v>168</v>
      </c>
      <c r="Z13" s="23">
        <v>176</v>
      </c>
      <c r="AA13" s="23">
        <v>183</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94A6-6B14-4CB8-A6E3-509A79B50AEE}">
  <sheetPr codeName="Sheet4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金谷壮真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45833</v>
      </c>
      <c r="D6" s="13" t="s">
        <v>69</v>
      </c>
      <c r="E6" s="13" t="s">
        <v>52</v>
      </c>
      <c r="F6" s="13">
        <v>25</v>
      </c>
      <c r="G6" s="13">
        <v>0.183</v>
      </c>
      <c r="H6" s="13">
        <v>17.3</v>
      </c>
      <c r="I6" s="13">
        <v>0.95</v>
      </c>
      <c r="J6" s="13">
        <v>52</v>
      </c>
      <c r="K6" s="13">
        <v>159</v>
      </c>
      <c r="L6" s="13">
        <v>24.8</v>
      </c>
      <c r="M6" s="13">
        <v>4</v>
      </c>
      <c r="N6" s="13">
        <v>10</v>
      </c>
      <c r="O6" s="13">
        <v>1</v>
      </c>
      <c r="P6" s="13">
        <v>4</v>
      </c>
      <c r="Q6" s="13">
        <v>57</v>
      </c>
      <c r="R6" s="13">
        <v>131</v>
      </c>
      <c r="S6" s="13">
        <v>29.9</v>
      </c>
      <c r="T6" s="13">
        <v>17.3</v>
      </c>
      <c r="U6" s="108">
        <v>465</v>
      </c>
      <c r="V6" s="13">
        <v>0.9</v>
      </c>
      <c r="W6" s="13">
        <v>6.7</v>
      </c>
      <c r="X6" s="13">
        <v>135</v>
      </c>
      <c r="Y6" s="13">
        <v>147</v>
      </c>
      <c r="Z6" s="13">
        <v>155</v>
      </c>
      <c r="AA6" s="13">
        <v>161</v>
      </c>
      <c r="AB6" s="13">
        <v>7</v>
      </c>
      <c r="AC6" s="13">
        <v>8</v>
      </c>
      <c r="AD6" s="13">
        <v>9</v>
      </c>
      <c r="AE6" s="13">
        <v>10</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72</v>
      </c>
      <c r="E11" s="23" t="s">
        <v>52</v>
      </c>
      <c r="F11" s="23">
        <v>26.5</v>
      </c>
      <c r="G11" s="23">
        <v>0.191</v>
      </c>
      <c r="H11" s="23">
        <v>21.6</v>
      </c>
      <c r="I11" s="23">
        <v>1.1299999999999999</v>
      </c>
      <c r="J11" s="23">
        <v>56</v>
      </c>
      <c r="K11" s="23">
        <v>161</v>
      </c>
      <c r="L11" s="23">
        <v>25.4</v>
      </c>
      <c r="M11" s="23">
        <v>6</v>
      </c>
      <c r="N11" s="23">
        <v>10</v>
      </c>
      <c r="O11" s="23">
        <v>7</v>
      </c>
      <c r="P11" s="23">
        <v>5</v>
      </c>
      <c r="Q11" s="23">
        <v>50</v>
      </c>
      <c r="R11" s="23">
        <v>135.80000000000001</v>
      </c>
      <c r="S11" s="23">
        <v>31.5</v>
      </c>
      <c r="T11" s="23">
        <v>18.7</v>
      </c>
      <c r="U11" s="108">
        <v>421</v>
      </c>
      <c r="V11" s="23">
        <v>0.87</v>
      </c>
      <c r="W11" s="23">
        <v>6.5</v>
      </c>
      <c r="X11" s="23">
        <v>165</v>
      </c>
      <c r="Y11" s="23">
        <v>172</v>
      </c>
      <c r="Z11" s="23">
        <v>182</v>
      </c>
      <c r="AA11" s="23">
        <v>183</v>
      </c>
      <c r="AB11" s="13">
        <v>10</v>
      </c>
      <c r="AC11" s="13">
        <v>11</v>
      </c>
      <c r="AD11" s="13">
        <v>12</v>
      </c>
      <c r="AE11" s="13">
        <v>13</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EFF6A-4C9B-47E8-A813-384E7B37BF93}">
  <sheetPr codeName="Sheet4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塩澤蓮</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B2CBC-94D9-4A12-A6AC-BDA2B309B62C}">
  <sheetPr codeName="Sheet4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塩澤陸</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E9E-BE9D-4D67-A781-08D6670401A6}">
  <sheetPr codeName="Sheet5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新井天翔</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13C4-3F59-4459-B459-9B76BF6D65CD}">
  <sheetPr codeName="Sheet5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大橋優那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81</v>
      </c>
      <c r="E7" s="13" t="s">
        <v>65</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80</v>
      </c>
      <c r="E10" s="23" t="s">
        <v>65</v>
      </c>
      <c r="F10" s="23">
        <v>32.1</v>
      </c>
      <c r="G10" s="23">
        <v>0.18</v>
      </c>
      <c r="H10" s="23">
        <v>24.2</v>
      </c>
      <c r="I10" s="23">
        <v>1.34</v>
      </c>
      <c r="J10" s="23">
        <v>58</v>
      </c>
      <c r="K10" s="23">
        <v>205</v>
      </c>
      <c r="L10" s="23">
        <v>30.6</v>
      </c>
      <c r="M10" s="23">
        <v>7</v>
      </c>
      <c r="N10" s="23">
        <v>9</v>
      </c>
      <c r="O10" s="23">
        <v>6</v>
      </c>
      <c r="P10" s="23">
        <v>7</v>
      </c>
      <c r="Q10" s="23">
        <v>59</v>
      </c>
      <c r="R10" s="23">
        <v>156.30000000000001</v>
      </c>
      <c r="S10" s="23">
        <v>44.3</v>
      </c>
      <c r="T10" s="23">
        <v>23.4</v>
      </c>
      <c r="U10" s="108">
        <v>561</v>
      </c>
      <c r="V10" s="23">
        <v>0.88</v>
      </c>
      <c r="W10" s="23">
        <v>6.58</v>
      </c>
      <c r="X10" s="23">
        <v>160</v>
      </c>
      <c r="Y10" s="23">
        <v>174</v>
      </c>
      <c r="Z10" s="23">
        <v>185</v>
      </c>
      <c r="AA10" s="23">
        <v>188</v>
      </c>
      <c r="AB10" s="13">
        <v>8</v>
      </c>
      <c r="AC10" s="13">
        <v>9</v>
      </c>
      <c r="AD10" s="13">
        <v>10</v>
      </c>
      <c r="AE10" s="13">
        <v>11</v>
      </c>
      <c r="AF10" s="14"/>
      <c r="AG10" s="24"/>
    </row>
    <row r="11" spans="1:34" x14ac:dyDescent="0.55000000000000004">
      <c r="A11" s="19">
        <v>2025</v>
      </c>
      <c r="B11" s="20">
        <v>11</v>
      </c>
      <c r="C11" s="106">
        <v>45988</v>
      </c>
      <c r="D11" s="23" t="s">
        <v>80</v>
      </c>
      <c r="E11" s="23" t="s">
        <v>65</v>
      </c>
      <c r="F11" s="23">
        <v>32.9</v>
      </c>
      <c r="G11" s="23">
        <v>0.17699999999999999</v>
      </c>
      <c r="H11" s="23">
        <v>27.7</v>
      </c>
      <c r="I11" s="23">
        <v>1.56</v>
      </c>
      <c r="J11" s="23">
        <v>54</v>
      </c>
      <c r="K11" s="23">
        <v>191</v>
      </c>
      <c r="L11" s="23">
        <v>31.6</v>
      </c>
      <c r="M11" s="23">
        <v>6</v>
      </c>
      <c r="N11" s="23">
        <v>10</v>
      </c>
      <c r="O11" s="23">
        <v>7</v>
      </c>
      <c r="P11" s="23">
        <v>8</v>
      </c>
      <c r="Q11" s="23">
        <v>39</v>
      </c>
      <c r="R11" s="23">
        <v>156.1</v>
      </c>
      <c r="S11" s="23">
        <v>44.7</v>
      </c>
      <c r="T11" s="23">
        <v>23.8</v>
      </c>
      <c r="U11" s="108">
        <v>546</v>
      </c>
      <c r="V11" s="23">
        <v>0.87</v>
      </c>
      <c r="W11" s="23"/>
      <c r="X11" s="23"/>
      <c r="Y11" s="23"/>
      <c r="Z11" s="23"/>
      <c r="AA11" s="23"/>
      <c r="AB11" s="13"/>
      <c r="AC11" s="13"/>
      <c r="AD11" s="13"/>
      <c r="AE11" s="13"/>
      <c r="AF11" s="14"/>
      <c r="AG11" s="24"/>
    </row>
    <row r="12" spans="1:34" x14ac:dyDescent="0.55000000000000004">
      <c r="A12" s="19">
        <v>2025</v>
      </c>
      <c r="B12" s="20">
        <v>12</v>
      </c>
      <c r="C12" s="106">
        <v>46016</v>
      </c>
      <c r="D12" s="23" t="s">
        <v>80</v>
      </c>
      <c r="E12" s="23" t="s">
        <v>65</v>
      </c>
      <c r="F12" s="23">
        <v>36.1</v>
      </c>
      <c r="G12" s="23">
        <v>0.19600000000000001</v>
      </c>
      <c r="H12" s="23">
        <v>26.3</v>
      </c>
      <c r="I12" s="23">
        <v>1.34</v>
      </c>
      <c r="J12" s="23">
        <v>61</v>
      </c>
      <c r="K12" s="23">
        <v>206</v>
      </c>
      <c r="L12" s="23">
        <v>33.5</v>
      </c>
      <c r="M12" s="23">
        <v>8</v>
      </c>
      <c r="N12" s="23">
        <v>10</v>
      </c>
      <c r="O12" s="23">
        <v>7</v>
      </c>
      <c r="P12" s="23">
        <v>9</v>
      </c>
      <c r="Q12" s="23"/>
      <c r="R12" s="23">
        <v>156.80000000000001</v>
      </c>
      <c r="S12" s="23">
        <v>44.5</v>
      </c>
      <c r="T12" s="23">
        <v>24.6</v>
      </c>
      <c r="U12" s="108">
        <v>586</v>
      </c>
      <c r="V12" s="23">
        <v>0.88</v>
      </c>
      <c r="W12" s="23">
        <v>6.46</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C12F8-A8DE-4556-9A03-CDBE586A8534}">
  <sheetPr codeName="Sheet5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肥塚紗月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81</v>
      </c>
      <c r="E7" s="13" t="s">
        <v>65</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82</v>
      </c>
      <c r="E10" s="23" t="s">
        <v>65</v>
      </c>
      <c r="F10" s="23">
        <v>32.299999999999997</v>
      </c>
      <c r="G10" s="23">
        <v>0.156</v>
      </c>
      <c r="H10" s="23">
        <v>31.6</v>
      </c>
      <c r="I10" s="23">
        <v>2.0299999999999998</v>
      </c>
      <c r="J10" s="23">
        <v>58</v>
      </c>
      <c r="K10" s="23">
        <v>193</v>
      </c>
      <c r="L10" s="23">
        <v>30.6</v>
      </c>
      <c r="M10" s="23">
        <v>6</v>
      </c>
      <c r="N10" s="23">
        <v>10</v>
      </c>
      <c r="O10" s="23">
        <v>7</v>
      </c>
      <c r="P10" s="23">
        <v>9</v>
      </c>
      <c r="Q10" s="23">
        <v>59</v>
      </c>
      <c r="R10" s="23">
        <v>154.30000000000001</v>
      </c>
      <c r="S10" s="23">
        <v>45.4</v>
      </c>
      <c r="T10" s="23">
        <v>24.4</v>
      </c>
      <c r="U10" s="108">
        <v>582</v>
      </c>
      <c r="V10" s="23">
        <v>0.88</v>
      </c>
      <c r="W10" s="23">
        <v>6.44</v>
      </c>
      <c r="X10" s="23">
        <v>157</v>
      </c>
      <c r="Y10" s="23">
        <v>174</v>
      </c>
      <c r="Z10" s="23">
        <v>183</v>
      </c>
      <c r="AA10" s="23">
        <v>186</v>
      </c>
      <c r="AB10" s="13">
        <v>8</v>
      </c>
      <c r="AC10" s="13">
        <v>9</v>
      </c>
      <c r="AD10" s="13">
        <v>10</v>
      </c>
      <c r="AE10" s="13">
        <v>11</v>
      </c>
      <c r="AF10" s="14"/>
      <c r="AG10" s="24"/>
    </row>
    <row r="11" spans="1:34" x14ac:dyDescent="0.55000000000000004">
      <c r="A11" s="19">
        <v>2025</v>
      </c>
      <c r="B11" s="20">
        <v>11</v>
      </c>
      <c r="C11" s="106">
        <v>45988</v>
      </c>
      <c r="D11" s="23" t="s">
        <v>82</v>
      </c>
      <c r="E11" s="23" t="s">
        <v>65</v>
      </c>
      <c r="F11" s="23">
        <v>31</v>
      </c>
      <c r="G11" s="23">
        <v>0.153</v>
      </c>
      <c r="H11" s="23">
        <v>30.2</v>
      </c>
      <c r="I11" s="23">
        <v>1.97</v>
      </c>
      <c r="J11" s="23">
        <v>51</v>
      </c>
      <c r="K11" s="23">
        <v>193</v>
      </c>
      <c r="L11" s="23">
        <v>30.2</v>
      </c>
      <c r="M11" s="23">
        <v>8</v>
      </c>
      <c r="N11" s="23">
        <v>9</v>
      </c>
      <c r="O11" s="23">
        <v>6</v>
      </c>
      <c r="P11" s="23">
        <v>9</v>
      </c>
      <c r="Q11" s="23">
        <v>41</v>
      </c>
      <c r="R11" s="23">
        <v>154.6</v>
      </c>
      <c r="S11" s="23">
        <v>46.2</v>
      </c>
      <c r="T11" s="23">
        <v>24.1</v>
      </c>
      <c r="U11" s="108">
        <v>599</v>
      </c>
      <c r="V11" s="23">
        <v>0.89</v>
      </c>
      <c r="W11" s="23"/>
      <c r="X11" s="23"/>
      <c r="Y11" s="23"/>
      <c r="Z11" s="23"/>
      <c r="AA11" s="23"/>
      <c r="AB11" s="13"/>
      <c r="AC11" s="13"/>
      <c r="AD11" s="13"/>
      <c r="AE11" s="13"/>
      <c r="AF11" s="14"/>
      <c r="AG11" s="24"/>
    </row>
    <row r="12" spans="1:34" x14ac:dyDescent="0.55000000000000004">
      <c r="A12" s="19">
        <v>2025</v>
      </c>
      <c r="B12" s="20">
        <v>12</v>
      </c>
      <c r="C12" s="106">
        <v>46016</v>
      </c>
      <c r="D12" s="23" t="s">
        <v>82</v>
      </c>
      <c r="E12" s="23" t="s">
        <v>65</v>
      </c>
      <c r="F12" s="23">
        <v>31.5</v>
      </c>
      <c r="G12" s="23">
        <v>0.16</v>
      </c>
      <c r="H12" s="23">
        <v>28.4</v>
      </c>
      <c r="I12" s="23">
        <v>1.77</v>
      </c>
      <c r="J12" s="23">
        <v>56</v>
      </c>
      <c r="K12" s="23">
        <v>198</v>
      </c>
      <c r="L12" s="23">
        <v>30.8</v>
      </c>
      <c r="M12" s="23">
        <v>6</v>
      </c>
      <c r="N12" s="23">
        <v>10</v>
      </c>
      <c r="O12" s="23">
        <v>6</v>
      </c>
      <c r="P12" s="23">
        <v>8</v>
      </c>
      <c r="Q12" s="23">
        <v>40</v>
      </c>
      <c r="R12" s="23">
        <v>154.5</v>
      </c>
      <c r="S12" s="23">
        <v>45.4</v>
      </c>
      <c r="T12" s="23">
        <v>24.2</v>
      </c>
      <c r="U12" s="108">
        <v>671</v>
      </c>
      <c r="V12" s="23">
        <v>0.92</v>
      </c>
      <c r="W12" s="23">
        <v>6.34</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5532-098C-4913-97E4-B112D29B2E60}">
  <sheetPr codeName="Sheet5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鶴見蓮音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45863</v>
      </c>
      <c r="D7" s="13" t="s">
        <v>59</v>
      </c>
      <c r="E7" s="13" t="s">
        <v>52</v>
      </c>
      <c r="F7" s="13">
        <v>31.8</v>
      </c>
      <c r="G7" s="13">
        <v>0.188</v>
      </c>
      <c r="H7" s="13">
        <v>31.1</v>
      </c>
      <c r="I7" s="13">
        <v>1.66</v>
      </c>
      <c r="J7" s="13">
        <v>54</v>
      </c>
      <c r="K7" s="13">
        <v>192</v>
      </c>
      <c r="L7" s="13">
        <v>28.7</v>
      </c>
      <c r="M7" s="13">
        <v>6</v>
      </c>
      <c r="N7" s="13">
        <v>10</v>
      </c>
      <c r="O7" s="13">
        <v>4</v>
      </c>
      <c r="P7" s="13">
        <v>9</v>
      </c>
      <c r="Q7" s="13">
        <v>44</v>
      </c>
      <c r="R7" s="13">
        <v>149.30000000000001</v>
      </c>
      <c r="S7" s="13">
        <v>38.200000000000003</v>
      </c>
      <c r="T7" s="13">
        <v>22</v>
      </c>
      <c r="U7" s="108">
        <v>460</v>
      </c>
      <c r="V7" s="13">
        <v>0.86</v>
      </c>
      <c r="W7" s="13">
        <v>6.62</v>
      </c>
      <c r="X7" s="13">
        <v>139</v>
      </c>
      <c r="Y7" s="13">
        <v>156</v>
      </c>
      <c r="Z7" s="13">
        <v>164</v>
      </c>
      <c r="AA7" s="13">
        <v>171</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59</v>
      </c>
      <c r="E10" s="23" t="s">
        <v>52</v>
      </c>
      <c r="F10" s="23">
        <v>33</v>
      </c>
      <c r="G10" s="23">
        <v>0.19500000000000001</v>
      </c>
      <c r="H10" s="23">
        <v>27.7</v>
      </c>
      <c r="I10" s="23">
        <v>1.49</v>
      </c>
      <c r="J10" s="23">
        <v>52</v>
      </c>
      <c r="K10" s="23">
        <v>179</v>
      </c>
      <c r="L10" s="23">
        <v>28.7</v>
      </c>
      <c r="M10" s="23">
        <v>7</v>
      </c>
      <c r="N10" s="23">
        <v>10</v>
      </c>
      <c r="O10" s="23">
        <v>7</v>
      </c>
      <c r="P10" s="23">
        <v>9</v>
      </c>
      <c r="Q10" s="23">
        <v>42</v>
      </c>
      <c r="R10" s="23">
        <v>150.69999999999999</v>
      </c>
      <c r="S10" s="23">
        <v>40.200000000000003</v>
      </c>
      <c r="T10" s="23">
        <v>22.7</v>
      </c>
      <c r="U10" s="108">
        <v>544</v>
      </c>
      <c r="V10" s="23">
        <v>0.89</v>
      </c>
      <c r="W10" s="23">
        <v>6.37</v>
      </c>
      <c r="X10" s="23">
        <v>158</v>
      </c>
      <c r="Y10" s="23">
        <v>163</v>
      </c>
      <c r="Z10" s="23">
        <v>168</v>
      </c>
      <c r="AA10" s="23">
        <v>170</v>
      </c>
      <c r="AB10" s="13">
        <v>8</v>
      </c>
      <c r="AC10" s="13">
        <v>9</v>
      </c>
      <c r="AD10" s="13">
        <v>10</v>
      </c>
      <c r="AE10" s="13">
        <v>11</v>
      </c>
      <c r="AF10" s="14"/>
      <c r="AG10" s="24"/>
    </row>
    <row r="11" spans="1:34" x14ac:dyDescent="0.55000000000000004">
      <c r="A11" s="19">
        <v>2025</v>
      </c>
      <c r="B11" s="20">
        <v>11</v>
      </c>
      <c r="C11" s="106">
        <v>45989</v>
      </c>
      <c r="D11" s="23" t="s">
        <v>59</v>
      </c>
      <c r="E11" s="23" t="s">
        <v>52</v>
      </c>
      <c r="F11" s="23">
        <v>28.5</v>
      </c>
      <c r="G11" s="23">
        <v>0.187</v>
      </c>
      <c r="H11" s="23">
        <v>24.8</v>
      </c>
      <c r="I11" s="23">
        <v>1.33</v>
      </c>
      <c r="J11" s="23">
        <v>54</v>
      </c>
      <c r="K11" s="23">
        <v>171</v>
      </c>
      <c r="L11" s="23">
        <v>27.4</v>
      </c>
      <c r="M11" s="23">
        <v>9</v>
      </c>
      <c r="N11" s="23">
        <v>10</v>
      </c>
      <c r="O11" s="23">
        <v>7</v>
      </c>
      <c r="P11" s="23">
        <v>8</v>
      </c>
      <c r="Q11" s="23">
        <v>44</v>
      </c>
      <c r="R11" s="23">
        <v>150.80000000000001</v>
      </c>
      <c r="S11" s="23">
        <v>40.4</v>
      </c>
      <c r="T11" s="23">
        <v>22.2</v>
      </c>
      <c r="U11" s="108">
        <v>581</v>
      </c>
      <c r="V11" s="23">
        <v>0.91</v>
      </c>
      <c r="W11" s="23">
        <v>6.34</v>
      </c>
      <c r="X11" s="23">
        <v>149</v>
      </c>
      <c r="Y11" s="23">
        <v>158</v>
      </c>
      <c r="Z11" s="23">
        <v>166</v>
      </c>
      <c r="AA11" s="23">
        <v>168</v>
      </c>
      <c r="AB11" s="13">
        <v>8</v>
      </c>
      <c r="AC11" s="13">
        <v>9</v>
      </c>
      <c r="AD11" s="13">
        <v>10</v>
      </c>
      <c r="AE11" s="13">
        <v>11</v>
      </c>
      <c r="AF11" s="14"/>
      <c r="AG11" s="24"/>
    </row>
    <row r="12" spans="1:34" x14ac:dyDescent="0.55000000000000004">
      <c r="A12" s="19">
        <v>2025</v>
      </c>
      <c r="B12" s="20">
        <v>12</v>
      </c>
      <c r="C12" s="106">
        <v>46015</v>
      </c>
      <c r="D12" s="23" t="s">
        <v>59</v>
      </c>
      <c r="E12" s="23" t="s">
        <v>52</v>
      </c>
      <c r="F12" s="23">
        <v>29.1</v>
      </c>
      <c r="G12" s="23">
        <v>0.16800000000000001</v>
      </c>
      <c r="H12" s="23">
        <v>27.2</v>
      </c>
      <c r="I12" s="23">
        <v>1.62</v>
      </c>
      <c r="J12" s="23">
        <v>53</v>
      </c>
      <c r="K12" s="23">
        <v>180</v>
      </c>
      <c r="L12" s="23">
        <v>29.2</v>
      </c>
      <c r="M12" s="23">
        <v>6</v>
      </c>
      <c r="N12" s="23">
        <v>10</v>
      </c>
      <c r="O12" s="23">
        <v>7</v>
      </c>
      <c r="P12" s="23">
        <v>9</v>
      </c>
      <c r="Q12" s="23">
        <v>42</v>
      </c>
      <c r="R12" s="23">
        <v>151.4</v>
      </c>
      <c r="S12" s="23">
        <v>40.799999999999997</v>
      </c>
      <c r="T12" s="23">
        <v>23.7</v>
      </c>
      <c r="U12" s="108">
        <v>516</v>
      </c>
      <c r="V12" s="23">
        <v>0.87</v>
      </c>
      <c r="W12" s="23">
        <v>6.08</v>
      </c>
      <c r="X12" s="23">
        <v>142</v>
      </c>
      <c r="Y12" s="23">
        <v>152</v>
      </c>
      <c r="Z12" s="23">
        <v>162</v>
      </c>
      <c r="AA12" s="23">
        <v>167</v>
      </c>
      <c r="AB12" s="13">
        <v>8</v>
      </c>
      <c r="AC12" s="13">
        <v>9</v>
      </c>
      <c r="AD12" s="13">
        <v>10</v>
      </c>
      <c r="AE12" s="13">
        <v>11</v>
      </c>
      <c r="AF12" s="14"/>
      <c r="AG12" s="24"/>
    </row>
    <row r="13" spans="1:34" x14ac:dyDescent="0.55000000000000004">
      <c r="A13" s="19">
        <v>2025</v>
      </c>
      <c r="B13" s="20">
        <v>1</v>
      </c>
      <c r="C13" s="106">
        <v>46052</v>
      </c>
      <c r="D13" s="23" t="s">
        <v>59</v>
      </c>
      <c r="E13" s="23" t="s">
        <v>52</v>
      </c>
      <c r="F13" s="23">
        <v>29.2</v>
      </c>
      <c r="G13" s="23">
        <v>0.186</v>
      </c>
      <c r="H13" s="23">
        <v>22.1</v>
      </c>
      <c r="I13" s="23">
        <v>1.19</v>
      </c>
      <c r="J13" s="23">
        <v>53</v>
      </c>
      <c r="K13" s="23">
        <v>172</v>
      </c>
      <c r="L13" s="23">
        <v>26.7</v>
      </c>
      <c r="M13" s="23">
        <v>8</v>
      </c>
      <c r="N13" s="23">
        <v>10</v>
      </c>
      <c r="O13" s="23">
        <v>7</v>
      </c>
      <c r="P13" s="23">
        <v>9</v>
      </c>
      <c r="Q13" s="23">
        <v>43</v>
      </c>
      <c r="R13" s="23">
        <v>151.30000000000001</v>
      </c>
      <c r="S13" s="23">
        <v>40</v>
      </c>
      <c r="T13" s="23">
        <v>20.3</v>
      </c>
      <c r="U13" s="108">
        <v>638</v>
      </c>
      <c r="V13" s="23">
        <v>0.95</v>
      </c>
      <c r="W13" s="23">
        <v>6.34</v>
      </c>
      <c r="X13" s="23">
        <v>156</v>
      </c>
      <c r="Y13" s="23">
        <v>167</v>
      </c>
      <c r="Z13" s="23">
        <v>173</v>
      </c>
      <c r="AA13" s="23">
        <v>175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57E1-E6D1-4CB5-828A-E46D00000F9E}">
  <sheetPr codeName="Sheet5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島田龍空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82</v>
      </c>
      <c r="E7" s="13" t="s">
        <v>52</v>
      </c>
      <c r="F7" s="13">
        <v>36.1</v>
      </c>
      <c r="G7" s="13">
        <v>0.17199999999999999</v>
      </c>
      <c r="H7" s="13">
        <v>29.4</v>
      </c>
      <c r="I7" s="13">
        <v>1.71</v>
      </c>
      <c r="J7" s="13">
        <v>57</v>
      </c>
      <c r="K7" s="13">
        <v>206</v>
      </c>
      <c r="L7" s="13">
        <v>33.700000000000003</v>
      </c>
      <c r="M7" s="13">
        <v>7</v>
      </c>
      <c r="N7" s="13">
        <v>10</v>
      </c>
      <c r="O7" s="13">
        <v>2</v>
      </c>
      <c r="P7" s="13">
        <v>4</v>
      </c>
      <c r="Q7" s="13">
        <v>44</v>
      </c>
      <c r="R7" s="13">
        <v>161.9</v>
      </c>
      <c r="S7" s="13">
        <v>46.2</v>
      </c>
      <c r="T7" s="13">
        <v>22.9</v>
      </c>
      <c r="U7" s="108">
        <v>571</v>
      </c>
      <c r="V7" s="13">
        <v>0.9</v>
      </c>
      <c r="W7" s="13">
        <v>6.11</v>
      </c>
      <c r="X7" s="13">
        <v>159</v>
      </c>
      <c r="Y7" s="13">
        <v>168</v>
      </c>
      <c r="Z7" s="13">
        <v>172</v>
      </c>
      <c r="AA7" s="13">
        <v>176</v>
      </c>
      <c r="AB7" s="13">
        <v>11</v>
      </c>
      <c r="AC7" s="13">
        <v>12</v>
      </c>
      <c r="AD7" s="13">
        <v>13</v>
      </c>
      <c r="AE7" s="13">
        <v>14</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82</v>
      </c>
      <c r="E10" s="23" t="s">
        <v>52</v>
      </c>
      <c r="F10" s="23">
        <v>38.6</v>
      </c>
      <c r="G10" s="23">
        <v>0.17599999999999999</v>
      </c>
      <c r="H10" s="23">
        <v>29.3</v>
      </c>
      <c r="I10" s="23">
        <v>1.67</v>
      </c>
      <c r="J10" s="23">
        <v>58</v>
      </c>
      <c r="K10" s="23">
        <v>219</v>
      </c>
      <c r="L10" s="23">
        <v>37.1</v>
      </c>
      <c r="M10" s="23">
        <v>5</v>
      </c>
      <c r="N10" s="23">
        <v>10</v>
      </c>
      <c r="O10" s="23">
        <v>5</v>
      </c>
      <c r="P10" s="23">
        <v>6</v>
      </c>
      <c r="Q10" s="23">
        <v>39</v>
      </c>
      <c r="R10" s="23">
        <v>163.69999999999999</v>
      </c>
      <c r="S10" s="23">
        <v>47.7</v>
      </c>
      <c r="T10" s="23">
        <v>26.3</v>
      </c>
      <c r="U10" s="108">
        <v>588</v>
      </c>
      <c r="V10" s="23">
        <v>0.88</v>
      </c>
      <c r="W10" s="23">
        <v>5.93</v>
      </c>
      <c r="X10" s="23">
        <v>165</v>
      </c>
      <c r="Y10" s="23">
        <v>174</v>
      </c>
      <c r="Z10" s="23">
        <v>178</v>
      </c>
      <c r="AA10" s="23">
        <v>184</v>
      </c>
      <c r="AB10" s="13">
        <v>11</v>
      </c>
      <c r="AC10" s="13">
        <v>12</v>
      </c>
      <c r="AD10" s="13">
        <v>13</v>
      </c>
      <c r="AE10" s="13">
        <v>14</v>
      </c>
      <c r="AF10" s="14"/>
      <c r="AG10" s="24"/>
    </row>
    <row r="11" spans="1:34" x14ac:dyDescent="0.55000000000000004">
      <c r="A11" s="19">
        <v>2025</v>
      </c>
      <c r="B11" s="20">
        <v>11</v>
      </c>
      <c r="C11" s="106">
        <v>45989</v>
      </c>
      <c r="D11" s="23" t="s">
        <v>82</v>
      </c>
      <c r="E11" s="23" t="s">
        <v>52</v>
      </c>
      <c r="F11" s="23">
        <v>40.5</v>
      </c>
      <c r="G11" s="23">
        <v>0.17499999999999999</v>
      </c>
      <c r="H11" s="23">
        <v>26.2</v>
      </c>
      <c r="I11" s="23">
        <v>1.5</v>
      </c>
      <c r="J11" s="23">
        <v>57</v>
      </c>
      <c r="K11" s="23">
        <v>222</v>
      </c>
      <c r="L11" s="23">
        <v>37.6</v>
      </c>
      <c r="M11" s="23">
        <v>6</v>
      </c>
      <c r="N11" s="23">
        <v>10</v>
      </c>
      <c r="O11" s="23">
        <v>10</v>
      </c>
      <c r="P11" s="23">
        <v>5</v>
      </c>
      <c r="Q11" s="23">
        <v>40</v>
      </c>
      <c r="R11" s="23">
        <v>164.2</v>
      </c>
      <c r="S11" s="23">
        <v>48.8</v>
      </c>
      <c r="T11" s="23">
        <v>25.4</v>
      </c>
      <c r="U11" s="108">
        <v>688</v>
      </c>
      <c r="V11" s="23">
        <v>0.93</v>
      </c>
      <c r="W11" s="23">
        <v>5.94</v>
      </c>
      <c r="X11" s="23">
        <v>158</v>
      </c>
      <c r="Y11" s="23">
        <v>168</v>
      </c>
      <c r="Z11" s="23">
        <v>176</v>
      </c>
      <c r="AA11" s="23">
        <v>183</v>
      </c>
      <c r="AB11" s="13">
        <v>10</v>
      </c>
      <c r="AC11" s="13">
        <v>11</v>
      </c>
      <c r="AD11" s="13">
        <v>12</v>
      </c>
      <c r="AE11" s="13">
        <v>13</v>
      </c>
      <c r="AF11" s="14"/>
      <c r="AG11" s="24"/>
    </row>
    <row r="12" spans="1:34" x14ac:dyDescent="0.55000000000000004">
      <c r="A12" s="19">
        <v>2025</v>
      </c>
      <c r="B12" s="20">
        <v>12</v>
      </c>
      <c r="C12" s="106">
        <v>46017</v>
      </c>
      <c r="D12" s="23" t="s">
        <v>82</v>
      </c>
      <c r="E12" s="23" t="s">
        <v>52</v>
      </c>
      <c r="F12" s="23">
        <v>35</v>
      </c>
      <c r="G12" s="23">
        <v>0.183</v>
      </c>
      <c r="H12" s="23">
        <v>23.9</v>
      </c>
      <c r="I12" s="23">
        <v>1.31</v>
      </c>
      <c r="J12" s="23">
        <v>62</v>
      </c>
      <c r="K12" s="23">
        <v>214</v>
      </c>
      <c r="L12" s="23">
        <v>32.5</v>
      </c>
      <c r="M12" s="23">
        <v>4</v>
      </c>
      <c r="N12" s="23">
        <v>10</v>
      </c>
      <c r="O12" s="23">
        <v>4</v>
      </c>
      <c r="P12" s="23">
        <v>9</v>
      </c>
      <c r="Q12" s="23">
        <v>42</v>
      </c>
      <c r="R12" s="23">
        <v>164.6</v>
      </c>
      <c r="S12" s="23">
        <v>48.5</v>
      </c>
      <c r="T12" s="23">
        <v>24.8</v>
      </c>
      <c r="U12" s="108">
        <v>700</v>
      </c>
      <c r="V12" s="23">
        <v>0.94</v>
      </c>
      <c r="W12" s="23">
        <v>5.84</v>
      </c>
      <c r="X12" s="23">
        <v>155</v>
      </c>
      <c r="Y12" s="23">
        <v>167</v>
      </c>
      <c r="Z12" s="23">
        <v>173</v>
      </c>
      <c r="AA12" s="23">
        <v>181</v>
      </c>
      <c r="AB12" s="13">
        <v>10</v>
      </c>
      <c r="AC12" s="13">
        <v>11</v>
      </c>
      <c r="AD12" s="13">
        <v>12</v>
      </c>
      <c r="AE12" s="13">
        <v>13</v>
      </c>
      <c r="AF12" s="14"/>
      <c r="AG12" s="24"/>
    </row>
    <row r="13" spans="1:34" x14ac:dyDescent="0.55000000000000004">
      <c r="A13" s="19">
        <v>2025</v>
      </c>
      <c r="B13" s="20">
        <v>1</v>
      </c>
      <c r="C13" s="106">
        <v>46049</v>
      </c>
      <c r="D13" s="23" t="s">
        <v>82</v>
      </c>
      <c r="E13" s="23" t="s">
        <v>52</v>
      </c>
      <c r="F13" s="23">
        <v>36.4</v>
      </c>
      <c r="G13" s="23">
        <v>0.17799999999999999</v>
      </c>
      <c r="H13" s="23">
        <v>30.6</v>
      </c>
      <c r="I13" s="23">
        <v>1.72</v>
      </c>
      <c r="J13" s="23">
        <v>55</v>
      </c>
      <c r="K13" s="23">
        <v>218</v>
      </c>
      <c r="L13" s="23">
        <v>31</v>
      </c>
      <c r="M13" s="23">
        <v>7</v>
      </c>
      <c r="N13" s="23">
        <v>10</v>
      </c>
      <c r="O13" s="23">
        <v>7</v>
      </c>
      <c r="P13" s="23">
        <v>7</v>
      </c>
      <c r="Q13" s="23">
        <v>41</v>
      </c>
      <c r="R13" s="23">
        <v>164.9</v>
      </c>
      <c r="S13" s="23">
        <v>50</v>
      </c>
      <c r="T13" s="23">
        <v>25.2</v>
      </c>
      <c r="U13" s="108">
        <v>591</v>
      </c>
      <c r="V13" s="23">
        <v>0.89</v>
      </c>
      <c r="W13" s="23">
        <v>6.11</v>
      </c>
      <c r="X13" s="23">
        <v>153</v>
      </c>
      <c r="Y13" s="23">
        <v>161</v>
      </c>
      <c r="Z13" s="23">
        <v>169</v>
      </c>
      <c r="AA13" s="23">
        <v>177</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2DA20-B0D4-4AD0-B024-D903F9AECBB5}">
  <sheetPr codeName="Sheet5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島田和空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61</v>
      </c>
      <c r="E7" s="13" t="s">
        <v>52</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63</v>
      </c>
      <c r="E10" s="23" t="s">
        <v>52</v>
      </c>
      <c r="F10" s="23">
        <v>28.5</v>
      </c>
      <c r="G10" s="23">
        <v>0.17899999999999999</v>
      </c>
      <c r="H10" s="23">
        <v>23.9</v>
      </c>
      <c r="I10" s="23">
        <v>1.34</v>
      </c>
      <c r="J10" s="23">
        <v>58</v>
      </c>
      <c r="K10" s="23">
        <v>177</v>
      </c>
      <c r="L10" s="23">
        <v>24.8</v>
      </c>
      <c r="M10" s="23">
        <v>7</v>
      </c>
      <c r="N10" s="23">
        <v>9</v>
      </c>
      <c r="O10" s="23">
        <v>8</v>
      </c>
      <c r="P10" s="23">
        <v>8</v>
      </c>
      <c r="Q10" s="23">
        <v>44</v>
      </c>
      <c r="R10" s="23">
        <v>147.30000000000001</v>
      </c>
      <c r="S10" s="23">
        <v>44.7</v>
      </c>
      <c r="T10" s="23">
        <v>21.7</v>
      </c>
      <c r="U10" s="108">
        <v>618</v>
      </c>
      <c r="V10" s="23">
        <v>0.93</v>
      </c>
      <c r="W10" s="23">
        <v>6.42</v>
      </c>
      <c r="X10" s="23">
        <v>157</v>
      </c>
      <c r="Y10" s="23">
        <v>168</v>
      </c>
      <c r="Z10" s="23">
        <v>172</v>
      </c>
      <c r="AA10" s="23">
        <v>173</v>
      </c>
      <c r="AB10" s="13">
        <v>9</v>
      </c>
      <c r="AC10" s="13">
        <v>10</v>
      </c>
      <c r="AD10" s="13">
        <v>11</v>
      </c>
      <c r="AE10" s="13">
        <v>12</v>
      </c>
      <c r="AF10" s="14"/>
      <c r="AG10" s="24"/>
    </row>
    <row r="11" spans="1:34" x14ac:dyDescent="0.55000000000000004">
      <c r="A11" s="19">
        <v>2025</v>
      </c>
      <c r="B11" s="20">
        <v>11</v>
      </c>
      <c r="C11" s="106">
        <v>45986</v>
      </c>
      <c r="D11" s="23" t="s">
        <v>63</v>
      </c>
      <c r="E11" s="23" t="s">
        <v>52</v>
      </c>
      <c r="F11" s="23">
        <v>28.8</v>
      </c>
      <c r="G11" s="23">
        <v>0.16700000000000001</v>
      </c>
      <c r="H11" s="23">
        <v>24.9</v>
      </c>
      <c r="I11" s="23">
        <v>1.49</v>
      </c>
      <c r="J11" s="23">
        <v>57</v>
      </c>
      <c r="K11" s="23">
        <v>183</v>
      </c>
      <c r="L11" s="23">
        <v>26.4</v>
      </c>
      <c r="M11" s="23">
        <v>7</v>
      </c>
      <c r="N11" s="23">
        <v>10</v>
      </c>
      <c r="O11" s="23">
        <v>7</v>
      </c>
      <c r="P11" s="23">
        <v>8</v>
      </c>
      <c r="Q11" s="23">
        <v>42</v>
      </c>
      <c r="R11" s="23">
        <v>148.4</v>
      </c>
      <c r="S11" s="23">
        <v>45</v>
      </c>
      <c r="T11" s="23">
        <v>22</v>
      </c>
      <c r="U11" s="108">
        <v>624</v>
      </c>
      <c r="V11" s="23">
        <v>0.93</v>
      </c>
      <c r="W11" s="23">
        <v>6.09</v>
      </c>
      <c r="X11" s="23">
        <v>155</v>
      </c>
      <c r="Y11" s="23">
        <v>167</v>
      </c>
      <c r="Z11" s="23">
        <v>169</v>
      </c>
      <c r="AA11" s="23">
        <v>177</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46049</v>
      </c>
      <c r="D13" s="23" t="s">
        <v>63</v>
      </c>
      <c r="E13" s="23" t="s">
        <v>52</v>
      </c>
      <c r="F13" s="23">
        <v>26.3</v>
      </c>
      <c r="G13" s="23">
        <v>0.17100000000000001</v>
      </c>
      <c r="H13" s="23">
        <v>21.6</v>
      </c>
      <c r="I13" s="23">
        <v>1.26</v>
      </c>
      <c r="J13" s="23">
        <v>60</v>
      </c>
      <c r="K13" s="23">
        <v>177</v>
      </c>
      <c r="L13" s="23">
        <v>27</v>
      </c>
      <c r="M13" s="23">
        <v>7</v>
      </c>
      <c r="N13" s="23">
        <v>10</v>
      </c>
      <c r="O13" s="23">
        <v>7</v>
      </c>
      <c r="P13" s="23">
        <v>6</v>
      </c>
      <c r="Q13" s="23">
        <v>45</v>
      </c>
      <c r="R13" s="23">
        <v>149.9</v>
      </c>
      <c r="S13" s="23">
        <v>45.2</v>
      </c>
      <c r="T13" s="23">
        <v>21.1</v>
      </c>
      <c r="U13" s="108">
        <v>677</v>
      </c>
      <c r="V13" s="23">
        <v>0.96</v>
      </c>
      <c r="W13" s="23">
        <v>6.67</v>
      </c>
      <c r="X13" s="23">
        <v>150</v>
      </c>
      <c r="Y13" s="23">
        <v>158</v>
      </c>
      <c r="Z13" s="23">
        <v>168</v>
      </c>
      <c r="AA13" s="23">
        <v>173</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9A0B4-A3A0-47B9-98BD-891C629D95C8}">
  <sheetPr codeName="Sheet5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富田竣介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45856</v>
      </c>
      <c r="D7" s="13" t="s">
        <v>51</v>
      </c>
      <c r="E7" s="13" t="s">
        <v>52</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59</v>
      </c>
      <c r="E9" s="13" t="s">
        <v>52</v>
      </c>
      <c r="F9" s="13">
        <v>27.8</v>
      </c>
      <c r="G9" s="13">
        <v>0.23</v>
      </c>
      <c r="H9" s="13">
        <v>23.7</v>
      </c>
      <c r="I9" s="13">
        <v>1.03</v>
      </c>
      <c r="J9" s="13">
        <v>54</v>
      </c>
      <c r="K9" s="13">
        <v>163</v>
      </c>
      <c r="L9" s="13">
        <v>25.9</v>
      </c>
      <c r="M9" s="13">
        <v>7</v>
      </c>
      <c r="N9" s="13">
        <v>10</v>
      </c>
      <c r="O9" s="13">
        <v>1</v>
      </c>
      <c r="P9" s="13">
        <v>8</v>
      </c>
      <c r="Q9" s="13">
        <v>46</v>
      </c>
      <c r="R9" s="13">
        <v>145.9</v>
      </c>
      <c r="S9" s="13">
        <v>42.1</v>
      </c>
      <c r="T9" s="13">
        <v>20.2</v>
      </c>
      <c r="U9" s="108">
        <v>496</v>
      </c>
      <c r="V9" s="22">
        <v>0.89</v>
      </c>
      <c r="W9" s="13">
        <v>7.06</v>
      </c>
      <c r="X9" s="13">
        <v>175</v>
      </c>
      <c r="Y9" s="13">
        <v>170</v>
      </c>
      <c r="Z9" s="13">
        <v>140</v>
      </c>
      <c r="AA9" s="13">
        <v>170</v>
      </c>
      <c r="AB9" s="13">
        <v>8</v>
      </c>
      <c r="AC9" s="13">
        <v>8</v>
      </c>
      <c r="AD9" s="13">
        <v>5</v>
      </c>
      <c r="AE9" s="13">
        <v>11</v>
      </c>
      <c r="AF9" s="14"/>
      <c r="AG9" s="15"/>
    </row>
    <row r="10" spans="1:34" x14ac:dyDescent="0.55000000000000004">
      <c r="A10" s="19">
        <v>2025</v>
      </c>
      <c r="B10" s="20">
        <v>10</v>
      </c>
      <c r="C10" s="106">
        <v>45961</v>
      </c>
      <c r="D10" s="23" t="s">
        <v>59</v>
      </c>
      <c r="E10" s="23" t="s">
        <v>52</v>
      </c>
      <c r="F10" s="23">
        <v>23.1</v>
      </c>
      <c r="G10" s="23">
        <v>0.28000000000000003</v>
      </c>
      <c r="H10" s="23">
        <v>21.1</v>
      </c>
      <c r="I10" s="23">
        <v>0.75</v>
      </c>
      <c r="J10" s="23">
        <v>60</v>
      </c>
      <c r="K10" s="23">
        <v>153</v>
      </c>
      <c r="L10" s="23">
        <v>24.6</v>
      </c>
      <c r="M10" s="23">
        <v>7</v>
      </c>
      <c r="N10" s="23">
        <v>10</v>
      </c>
      <c r="O10" s="23">
        <v>4</v>
      </c>
      <c r="P10" s="23">
        <v>9</v>
      </c>
      <c r="Q10" s="23">
        <v>46</v>
      </c>
      <c r="R10" s="23">
        <v>147.30000000000001</v>
      </c>
      <c r="S10" s="23">
        <v>41.2</v>
      </c>
      <c r="T10" s="23">
        <v>19.600000000000001</v>
      </c>
      <c r="U10" s="108">
        <v>555</v>
      </c>
      <c r="V10" s="23">
        <v>0.92</v>
      </c>
      <c r="W10" s="23"/>
      <c r="X10" s="23">
        <v>160</v>
      </c>
      <c r="Y10" s="23">
        <v>167</v>
      </c>
      <c r="Z10" s="23">
        <v>175</v>
      </c>
      <c r="AA10" s="23">
        <v>183</v>
      </c>
      <c r="AB10" s="13">
        <v>6</v>
      </c>
      <c r="AC10" s="13">
        <v>7</v>
      </c>
      <c r="AD10" s="13">
        <v>8</v>
      </c>
      <c r="AE10" s="13">
        <v>9</v>
      </c>
      <c r="AF10" s="14"/>
      <c r="AG10" s="24"/>
    </row>
    <row r="11" spans="1:34" x14ac:dyDescent="0.55000000000000004">
      <c r="A11" s="19">
        <v>2025</v>
      </c>
      <c r="B11" s="20">
        <v>11</v>
      </c>
      <c r="C11" s="106">
        <v>45989</v>
      </c>
      <c r="D11" s="23" t="s">
        <v>59</v>
      </c>
      <c r="E11" s="23" t="s">
        <v>52</v>
      </c>
      <c r="F11" s="23">
        <v>26.8</v>
      </c>
      <c r="G11" s="23">
        <v>0.25800000000000001</v>
      </c>
      <c r="H11" s="23">
        <v>18.5</v>
      </c>
      <c r="I11" s="23">
        <v>0.72</v>
      </c>
      <c r="J11" s="23">
        <v>49</v>
      </c>
      <c r="K11" s="23">
        <v>174</v>
      </c>
      <c r="L11" s="23">
        <v>26.5</v>
      </c>
      <c r="M11" s="23">
        <v>6</v>
      </c>
      <c r="N11" s="23">
        <v>10</v>
      </c>
      <c r="O11" s="23">
        <v>6</v>
      </c>
      <c r="P11" s="23">
        <v>7</v>
      </c>
      <c r="Q11" s="23">
        <v>56</v>
      </c>
      <c r="R11" s="23">
        <v>147.80000000000001</v>
      </c>
      <c r="S11" s="23">
        <v>43.9</v>
      </c>
      <c r="T11" s="23">
        <v>21.6</v>
      </c>
      <c r="U11" s="108">
        <v>616</v>
      </c>
      <c r="V11" s="23">
        <v>0.93</v>
      </c>
      <c r="W11" s="23">
        <v>6.97</v>
      </c>
      <c r="X11" s="23"/>
      <c r="Y11" s="23"/>
      <c r="Z11" s="23"/>
      <c r="AA11" s="23"/>
      <c r="AB11" s="13"/>
      <c r="AC11" s="13"/>
      <c r="AD11" s="13"/>
      <c r="AE11" s="13"/>
      <c r="AF11" s="14"/>
      <c r="AG11" s="24"/>
    </row>
    <row r="12" spans="1:34" x14ac:dyDescent="0.55000000000000004">
      <c r="A12" s="19">
        <v>2025</v>
      </c>
      <c r="B12" s="20">
        <v>12</v>
      </c>
      <c r="C12" s="106">
        <v>46017</v>
      </c>
      <c r="D12" s="23" t="s">
        <v>59</v>
      </c>
      <c r="E12" s="23" t="s">
        <v>52</v>
      </c>
      <c r="F12" s="23">
        <v>27.2</v>
      </c>
      <c r="G12" s="23">
        <v>0.218</v>
      </c>
      <c r="H12" s="23">
        <v>23.1</v>
      </c>
      <c r="I12" s="23">
        <v>1.06</v>
      </c>
      <c r="J12" s="23">
        <v>57</v>
      </c>
      <c r="K12" s="23">
        <v>174</v>
      </c>
      <c r="L12" s="23">
        <v>24.7</v>
      </c>
      <c r="M12" s="23">
        <v>6</v>
      </c>
      <c r="N12" s="23">
        <v>9</v>
      </c>
      <c r="O12" s="23">
        <v>5</v>
      </c>
      <c r="P12" s="23">
        <v>8</v>
      </c>
      <c r="Q12" s="23">
        <v>43</v>
      </c>
      <c r="R12" s="23">
        <v>149.1</v>
      </c>
      <c r="S12" s="23">
        <v>42.7</v>
      </c>
      <c r="T12" s="23">
        <v>22.1</v>
      </c>
      <c r="U12" s="108">
        <v>532</v>
      </c>
      <c r="V12" s="23">
        <v>0.89</v>
      </c>
      <c r="W12" s="23">
        <v>6.73</v>
      </c>
      <c r="X12" s="23">
        <v>169</v>
      </c>
      <c r="Y12" s="23">
        <v>181</v>
      </c>
      <c r="Z12" s="23">
        <v>191</v>
      </c>
      <c r="AA12" s="23">
        <v>200</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ABDEE-E6FB-4CD3-8DFF-6E44E056757C}">
  <sheetPr codeName="Sheet5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高田和音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45866</v>
      </c>
      <c r="D7" s="13" t="s">
        <v>82</v>
      </c>
      <c r="E7" s="13" t="s">
        <v>65</v>
      </c>
      <c r="F7" s="13">
        <v>30</v>
      </c>
      <c r="G7" s="13">
        <v>0.17699999999999999</v>
      </c>
      <c r="H7" s="13">
        <v>28.8</v>
      </c>
      <c r="I7" s="13">
        <v>1.63</v>
      </c>
      <c r="J7" s="13">
        <v>46</v>
      </c>
      <c r="K7" s="13">
        <v>194</v>
      </c>
      <c r="L7" s="13">
        <v>27.4</v>
      </c>
      <c r="M7" s="13">
        <v>7</v>
      </c>
      <c r="N7" s="13">
        <v>9</v>
      </c>
      <c r="O7" s="13">
        <v>3</v>
      </c>
      <c r="P7" s="13">
        <v>6</v>
      </c>
      <c r="Q7" s="13">
        <v>43</v>
      </c>
      <c r="R7" s="13">
        <v>157.69999999999999</v>
      </c>
      <c r="S7" s="13">
        <v>57.7</v>
      </c>
      <c r="T7" s="13">
        <v>18.899999999999999</v>
      </c>
      <c r="U7" s="108">
        <v>658</v>
      </c>
      <c r="V7" s="13">
        <v>0.97</v>
      </c>
      <c r="W7" s="13">
        <v>6.22</v>
      </c>
      <c r="X7" s="13">
        <v>163</v>
      </c>
      <c r="Y7" s="13">
        <v>170</v>
      </c>
      <c r="Z7" s="13">
        <v>172</v>
      </c>
      <c r="AA7" s="13">
        <v>180</v>
      </c>
      <c r="AB7" s="13">
        <v>8</v>
      </c>
      <c r="AC7" s="13">
        <v>9</v>
      </c>
      <c r="AD7" s="13">
        <v>10</v>
      </c>
      <c r="AE7" s="13">
        <v>10.5</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82</v>
      </c>
      <c r="E10" s="23" t="s">
        <v>65</v>
      </c>
      <c r="F10" s="23">
        <v>33.1</v>
      </c>
      <c r="G10" s="23">
        <v>0.151</v>
      </c>
      <c r="H10" s="23">
        <v>29.6</v>
      </c>
      <c r="I10" s="23">
        <v>1.96</v>
      </c>
      <c r="J10" s="23">
        <v>50</v>
      </c>
      <c r="K10" s="23">
        <v>192</v>
      </c>
      <c r="L10" s="23">
        <v>30.4</v>
      </c>
      <c r="M10" s="23">
        <v>8</v>
      </c>
      <c r="N10" s="23">
        <v>10</v>
      </c>
      <c r="O10" s="23">
        <v>7</v>
      </c>
      <c r="P10" s="23">
        <v>5</v>
      </c>
      <c r="Q10" s="23">
        <v>42</v>
      </c>
      <c r="R10" s="23">
        <v>157.1</v>
      </c>
      <c r="S10" s="23">
        <v>63</v>
      </c>
      <c r="T10" s="23">
        <v>22.6</v>
      </c>
      <c r="U10" s="108">
        <v>542</v>
      </c>
      <c r="V10" s="23">
        <v>0.89</v>
      </c>
      <c r="W10" s="23">
        <v>6.12</v>
      </c>
      <c r="X10" s="23">
        <v>165</v>
      </c>
      <c r="Y10" s="23">
        <v>175</v>
      </c>
      <c r="Z10" s="23">
        <v>178</v>
      </c>
      <c r="AA10" s="23">
        <v>183</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82</v>
      </c>
      <c r="E12" s="23" t="s">
        <v>65</v>
      </c>
      <c r="F12" s="23">
        <v>32.9</v>
      </c>
      <c r="G12" s="23">
        <v>0.156</v>
      </c>
      <c r="H12" s="23">
        <v>29.6</v>
      </c>
      <c r="I12" s="23">
        <v>1.89</v>
      </c>
      <c r="J12" s="23">
        <v>53</v>
      </c>
      <c r="K12" s="23">
        <v>189</v>
      </c>
      <c r="L12" s="23">
        <v>31.6</v>
      </c>
      <c r="M12" s="23">
        <v>8</v>
      </c>
      <c r="N12" s="23">
        <v>10</v>
      </c>
      <c r="O12" s="23">
        <v>5</v>
      </c>
      <c r="P12" s="23">
        <v>7</v>
      </c>
      <c r="Q12" s="23">
        <v>40</v>
      </c>
      <c r="R12" s="23">
        <v>157.30000000000001</v>
      </c>
      <c r="S12" s="23">
        <v>61.1</v>
      </c>
      <c r="T12" s="23">
        <v>21.4</v>
      </c>
      <c r="U12" s="108">
        <v>613</v>
      </c>
      <c r="V12" s="23">
        <v>0.92</v>
      </c>
      <c r="W12" s="23">
        <v>6.04</v>
      </c>
      <c r="X12" s="23">
        <v>156</v>
      </c>
      <c r="Y12" s="23">
        <v>162</v>
      </c>
      <c r="Z12" s="23">
        <v>171</v>
      </c>
      <c r="AA12" s="23">
        <v>176</v>
      </c>
      <c r="AB12" s="13">
        <v>8</v>
      </c>
      <c r="AC12" s="13">
        <v>9</v>
      </c>
      <c r="AD12" s="13">
        <v>10</v>
      </c>
      <c r="AE12" s="13">
        <v>11</v>
      </c>
      <c r="AF12" s="14"/>
      <c r="AG12" s="24"/>
    </row>
    <row r="13" spans="1:34" x14ac:dyDescent="0.55000000000000004">
      <c r="A13" s="19">
        <v>2025</v>
      </c>
      <c r="B13" s="20">
        <v>1</v>
      </c>
      <c r="C13" s="106">
        <v>46048</v>
      </c>
      <c r="D13" s="23" t="s">
        <v>82</v>
      </c>
      <c r="E13" s="23" t="s">
        <v>65</v>
      </c>
      <c r="F13" s="23">
        <v>31.4</v>
      </c>
      <c r="G13" s="23">
        <v>0.14699999999999999</v>
      </c>
      <c r="H13" s="23">
        <v>27.9</v>
      </c>
      <c r="I13" s="23">
        <v>1.9</v>
      </c>
      <c r="J13" s="23">
        <v>56</v>
      </c>
      <c r="K13" s="23">
        <v>184</v>
      </c>
      <c r="L13" s="23">
        <v>29.4</v>
      </c>
      <c r="M13" s="23">
        <v>8</v>
      </c>
      <c r="N13" s="23">
        <v>10</v>
      </c>
      <c r="O13" s="23">
        <v>6</v>
      </c>
      <c r="P13" s="23">
        <v>7</v>
      </c>
      <c r="Q13" s="23">
        <v>38</v>
      </c>
      <c r="R13" s="23">
        <v>157.80000000000001</v>
      </c>
      <c r="S13" s="23">
        <v>62.6</v>
      </c>
      <c r="T13" s="23">
        <v>21.6</v>
      </c>
      <c r="U13" s="108">
        <v>664</v>
      </c>
      <c r="V13" s="23">
        <v>0.94</v>
      </c>
      <c r="W13" s="23">
        <v>5.75</v>
      </c>
      <c r="X13" s="23">
        <v>168</v>
      </c>
      <c r="Y13" s="23">
        <v>181</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9A146-5D77-42FE-A3F9-20737FCE92A5}">
  <sheetPr codeName="Sheet5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伊藤暉基</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DF953-0AC8-4A75-96F3-CDE14261EB20}">
  <sheetPr codeName="Sheet6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臼井遥香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68</v>
      </c>
      <c r="E8" s="13" t="s">
        <v>65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69</v>
      </c>
      <c r="E10" s="23" t="s">
        <v>65</v>
      </c>
      <c r="F10" s="23">
        <v>23.5</v>
      </c>
      <c r="G10" s="23">
        <v>0.191</v>
      </c>
      <c r="H10" s="23">
        <v>13.8</v>
      </c>
      <c r="I10" s="23">
        <v>0.72</v>
      </c>
      <c r="J10" s="23">
        <v>53</v>
      </c>
      <c r="K10" s="23">
        <v>136</v>
      </c>
      <c r="L10" s="23">
        <v>23.9</v>
      </c>
      <c r="M10" s="23">
        <v>5</v>
      </c>
      <c r="N10" s="23">
        <v>10</v>
      </c>
      <c r="O10" s="23">
        <v>7</v>
      </c>
      <c r="P10" s="23">
        <v>6</v>
      </c>
      <c r="Q10" s="23">
        <v>57</v>
      </c>
      <c r="R10" s="23">
        <v>146.9</v>
      </c>
      <c r="S10" s="23">
        <v>35.9</v>
      </c>
      <c r="T10" s="23">
        <v>18.899999999999999</v>
      </c>
      <c r="U10" s="108">
        <v>538</v>
      </c>
      <c r="V10" s="23">
        <v>0.91</v>
      </c>
      <c r="W10" s="23">
        <v>7.31</v>
      </c>
      <c r="X10" s="23">
        <v>142</v>
      </c>
      <c r="Y10" s="23">
        <v>159</v>
      </c>
      <c r="Z10" s="23">
        <v>178</v>
      </c>
      <c r="AA10" s="23">
        <v>178</v>
      </c>
      <c r="AB10" s="13">
        <v>6</v>
      </c>
      <c r="AC10" s="13">
        <v>7</v>
      </c>
      <c r="AD10" s="13">
        <v>8</v>
      </c>
      <c r="AE10" s="13">
        <v>9</v>
      </c>
      <c r="AF10" s="14"/>
      <c r="AG10" s="24"/>
    </row>
    <row r="11" spans="1:34" x14ac:dyDescent="0.55000000000000004">
      <c r="A11" s="19">
        <v>2025</v>
      </c>
      <c r="B11" s="20">
        <v>11</v>
      </c>
      <c r="C11" s="106">
        <v>45989</v>
      </c>
      <c r="D11" s="23" t="s">
        <v>69</v>
      </c>
      <c r="E11" s="23" t="s">
        <v>65</v>
      </c>
      <c r="F11" s="23">
        <v>22.9</v>
      </c>
      <c r="G11" s="23">
        <v>0.20699999999999999</v>
      </c>
      <c r="H11" s="23">
        <v>17</v>
      </c>
      <c r="I11" s="23">
        <v>0.82</v>
      </c>
      <c r="J11" s="23">
        <v>51</v>
      </c>
      <c r="K11" s="23">
        <v>149</v>
      </c>
      <c r="L11" s="23">
        <v>20.9</v>
      </c>
      <c r="M11" s="23">
        <v>5</v>
      </c>
      <c r="N11" s="23">
        <v>9</v>
      </c>
      <c r="O11" s="23">
        <v>8</v>
      </c>
      <c r="P11" s="23">
        <v>7</v>
      </c>
      <c r="Q11" s="23">
        <v>48</v>
      </c>
      <c r="R11" s="23">
        <v>147.19999999999999</v>
      </c>
      <c r="S11" s="23">
        <v>38.799999999999997</v>
      </c>
      <c r="T11" s="23">
        <v>20.2</v>
      </c>
      <c r="U11" s="108">
        <v>565</v>
      </c>
      <c r="V11" s="23">
        <v>0.91</v>
      </c>
      <c r="W11" s="23">
        <v>7.22</v>
      </c>
      <c r="X11" s="23">
        <v>146</v>
      </c>
      <c r="Y11" s="23">
        <v>163</v>
      </c>
      <c r="Z11" s="23">
        <v>170</v>
      </c>
      <c r="AA11" s="23">
        <v>175</v>
      </c>
      <c r="AB11" s="13">
        <v>6</v>
      </c>
      <c r="AC11" s="13">
        <v>7</v>
      </c>
      <c r="AD11" s="13">
        <v>8</v>
      </c>
      <c r="AE11" s="13">
        <v>9</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69</v>
      </c>
      <c r="E13" s="23" t="s">
        <v>65</v>
      </c>
      <c r="F13" s="23">
        <v>22.4</v>
      </c>
      <c r="G13" s="23">
        <v>0.21099999999999999</v>
      </c>
      <c r="H13" s="23">
        <v>17.399999999999999</v>
      </c>
      <c r="I13" s="23">
        <v>0.83</v>
      </c>
      <c r="J13" s="23">
        <v>49</v>
      </c>
      <c r="K13" s="23">
        <v>145</v>
      </c>
      <c r="L13" s="23">
        <v>21.5</v>
      </c>
      <c r="M13" s="23">
        <v>5</v>
      </c>
      <c r="N13" s="23">
        <v>9</v>
      </c>
      <c r="O13" s="23">
        <v>6</v>
      </c>
      <c r="P13" s="23">
        <v>8</v>
      </c>
      <c r="Q13" s="23">
        <v>53</v>
      </c>
      <c r="R13" s="23">
        <v>147.9</v>
      </c>
      <c r="S13" s="23">
        <v>39.9</v>
      </c>
      <c r="T13" s="23">
        <v>19.7</v>
      </c>
      <c r="U13" s="108">
        <v>532</v>
      </c>
      <c r="V13" s="23">
        <v>0.9</v>
      </c>
      <c r="W13" s="23">
        <v>7.08</v>
      </c>
      <c r="X13" s="23">
        <v>136</v>
      </c>
      <c r="Y13" s="23">
        <v>151</v>
      </c>
      <c r="Z13" s="23">
        <v>173</v>
      </c>
      <c r="AA13" s="23">
        <v>179</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02B6-E8FB-4264-B475-0279E523BF77}">
  <sheetPr codeName="Sheet6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臼井咲葵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64</v>
      </c>
      <c r="E8" s="13" t="s">
        <v>65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65</v>
      </c>
      <c r="F10" s="23">
        <v>25.6</v>
      </c>
      <c r="G10" s="23">
        <v>0.17499999999999999</v>
      </c>
      <c r="H10" s="23">
        <v>20</v>
      </c>
      <c r="I10" s="23">
        <v>1.1399999999999999</v>
      </c>
      <c r="J10" s="23">
        <v>50</v>
      </c>
      <c r="K10" s="23">
        <v>144</v>
      </c>
      <c r="L10" s="23">
        <v>24.7</v>
      </c>
      <c r="M10" s="23">
        <v>6</v>
      </c>
      <c r="N10" s="23">
        <v>10</v>
      </c>
      <c r="O10" s="23">
        <v>9</v>
      </c>
      <c r="P10" s="23">
        <v>2</v>
      </c>
      <c r="Q10" s="23">
        <v>46</v>
      </c>
      <c r="R10" s="23">
        <v>120</v>
      </c>
      <c r="S10" s="23">
        <v>17.7</v>
      </c>
      <c r="T10" s="23">
        <v>16.600000000000001</v>
      </c>
      <c r="U10" s="108">
        <v>281</v>
      </c>
      <c r="V10" s="23">
        <v>0.82</v>
      </c>
      <c r="W10" s="23">
        <v>8.14</v>
      </c>
      <c r="X10" s="23">
        <v>118</v>
      </c>
      <c r="Y10" s="23">
        <v>139</v>
      </c>
      <c r="Z10" s="23">
        <v>160</v>
      </c>
      <c r="AA10" s="23">
        <v>166</v>
      </c>
      <c r="AB10" s="13">
        <v>5</v>
      </c>
      <c r="AC10" s="13">
        <v>6</v>
      </c>
      <c r="AD10" s="13">
        <v>7</v>
      </c>
      <c r="AE10" s="13">
        <v>8</v>
      </c>
      <c r="AF10" s="14"/>
      <c r="AG10" s="24"/>
    </row>
    <row r="11" spans="1:34" x14ac:dyDescent="0.55000000000000004">
      <c r="A11" s="19">
        <v>2025</v>
      </c>
      <c r="B11" s="20">
        <v>11</v>
      </c>
      <c r="C11" s="106">
        <v>45989</v>
      </c>
      <c r="D11" s="23" t="s">
        <v>67</v>
      </c>
      <c r="E11" s="23" t="s">
        <v>65</v>
      </c>
      <c r="F11" s="23">
        <v>27</v>
      </c>
      <c r="G11" s="23">
        <v>0.159</v>
      </c>
      <c r="H11" s="23">
        <v>19.7</v>
      </c>
      <c r="I11" s="23">
        <v>1.24</v>
      </c>
      <c r="J11" s="23">
        <v>47</v>
      </c>
      <c r="K11" s="23">
        <v>151</v>
      </c>
      <c r="L11" s="23">
        <v>26.5</v>
      </c>
      <c r="M11" s="23">
        <v>6</v>
      </c>
      <c r="N11" s="23">
        <v>10</v>
      </c>
      <c r="O11" s="23">
        <v>6</v>
      </c>
      <c r="P11" s="23">
        <v>6</v>
      </c>
      <c r="Q11" s="23">
        <v>49</v>
      </c>
      <c r="R11" s="23">
        <v>147.19999999999999</v>
      </c>
      <c r="S11" s="23">
        <v>38.799999999999997</v>
      </c>
      <c r="T11" s="23">
        <v>17.100000000000001</v>
      </c>
      <c r="U11" s="108">
        <v>455</v>
      </c>
      <c r="V11" s="23">
        <v>0.89</v>
      </c>
      <c r="W11" s="23">
        <v>7.48</v>
      </c>
      <c r="X11" s="23">
        <v>137</v>
      </c>
      <c r="Y11" s="23">
        <v>166</v>
      </c>
      <c r="Z11" s="23">
        <v>173</v>
      </c>
      <c r="AA11" s="23">
        <v>179</v>
      </c>
      <c r="AB11" s="13">
        <v>5</v>
      </c>
      <c r="AC11" s="13">
        <v>6</v>
      </c>
      <c r="AD11" s="13">
        <v>7</v>
      </c>
      <c r="AE11" s="13">
        <v>8</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67</v>
      </c>
      <c r="E13" s="23" t="s">
        <v>65</v>
      </c>
      <c r="F13" s="23">
        <v>25.3</v>
      </c>
      <c r="G13" s="23">
        <v>0.152</v>
      </c>
      <c r="H13" s="23">
        <v>18</v>
      </c>
      <c r="I13" s="23">
        <v>1.18</v>
      </c>
      <c r="J13" s="23">
        <v>46</v>
      </c>
      <c r="K13" s="23">
        <v>151</v>
      </c>
      <c r="L13" s="23">
        <v>23.1</v>
      </c>
      <c r="M13" s="23">
        <v>5</v>
      </c>
      <c r="N13" s="23">
        <v>8</v>
      </c>
      <c r="O13" s="23">
        <v>5</v>
      </c>
      <c r="P13" s="23">
        <v>1</v>
      </c>
      <c r="Q13" s="23">
        <v>49</v>
      </c>
      <c r="R13" s="23">
        <v>121.2</v>
      </c>
      <c r="S13" s="23">
        <v>20.9</v>
      </c>
      <c r="T13" s="23">
        <v>15.3</v>
      </c>
      <c r="U13" s="108">
        <v>464</v>
      </c>
      <c r="V13" s="23">
        <v>0.91</v>
      </c>
      <c r="W13" s="23">
        <v>7.49</v>
      </c>
      <c r="X13" s="23">
        <v>124</v>
      </c>
      <c r="Y13" s="23">
        <v>155</v>
      </c>
      <c r="Z13" s="23">
        <v>173</v>
      </c>
      <c r="AA13" s="23">
        <v>180</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B18F1-F11B-4F92-935B-43AF7E34106A}">
  <sheetPr codeName="Sheet62">
    <tabColor rgb="FFFF0000"/>
    <pageSetUpPr fitToPage="1"/>
  </sheetPr>
  <dimension ref="A1:AH44"/>
  <sheetViews>
    <sheetView topLeftCell="U13" zoomScale="77" zoomScaleNormal="77"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小井沼晴義</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51</v>
      </c>
      <c r="E8" s="13" t="s">
        <v>52</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72</v>
      </c>
      <c r="E10" s="23" t="s">
        <v>52</v>
      </c>
      <c r="F10" s="23">
        <v>25</v>
      </c>
      <c r="G10" s="23">
        <v>0.36</v>
      </c>
      <c r="H10" s="23">
        <v>20.9</v>
      </c>
      <c r="I10" s="23">
        <v>0.57999999999999996</v>
      </c>
      <c r="J10" s="23">
        <v>31</v>
      </c>
      <c r="K10" s="23">
        <v>113</v>
      </c>
      <c r="L10" s="23">
        <v>25.5</v>
      </c>
      <c r="M10" s="23">
        <v>3</v>
      </c>
      <c r="N10" s="23">
        <v>10</v>
      </c>
      <c r="O10" s="23">
        <v>1</v>
      </c>
      <c r="P10" s="23">
        <v>2</v>
      </c>
      <c r="Q10" s="23">
        <v>49</v>
      </c>
      <c r="R10" s="23">
        <v>141.19999999999999</v>
      </c>
      <c r="S10" s="23">
        <v>34.6</v>
      </c>
      <c r="T10" s="23">
        <v>18.2</v>
      </c>
      <c r="U10" s="108">
        <v>528</v>
      </c>
      <c r="V10" s="23">
        <v>0.92</v>
      </c>
      <c r="W10" s="23">
        <v>7.95</v>
      </c>
      <c r="X10" s="23">
        <v>144</v>
      </c>
      <c r="Y10" s="23">
        <v>164</v>
      </c>
      <c r="Z10" s="23">
        <v>144</v>
      </c>
      <c r="AA10" s="23">
        <v>136</v>
      </c>
      <c r="AB10" s="13">
        <v>5</v>
      </c>
      <c r="AC10" s="13">
        <v>6</v>
      </c>
      <c r="AD10" s="13">
        <v>5</v>
      </c>
      <c r="AE10" s="13">
        <v>5</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72</v>
      </c>
      <c r="E13" s="23" t="s">
        <v>52</v>
      </c>
      <c r="F13" s="23">
        <v>25.2</v>
      </c>
      <c r="G13" s="23">
        <v>0.23300000000000001</v>
      </c>
      <c r="H13" s="23">
        <v>15.8</v>
      </c>
      <c r="I13" s="23">
        <v>0.68</v>
      </c>
      <c r="J13" s="23">
        <v>45</v>
      </c>
      <c r="K13" s="23">
        <v>90</v>
      </c>
      <c r="L13" s="23">
        <v>20.399999999999999</v>
      </c>
      <c r="M13" s="23">
        <v>2</v>
      </c>
      <c r="N13" s="23">
        <v>10</v>
      </c>
      <c r="O13" s="23">
        <v>3</v>
      </c>
      <c r="P13" s="23">
        <v>2</v>
      </c>
      <c r="Q13" s="23">
        <v>48</v>
      </c>
      <c r="R13" s="23">
        <v>143.9</v>
      </c>
      <c r="S13" s="23">
        <v>34.299999999999997</v>
      </c>
      <c r="T13" s="23">
        <v>19.600000000000001</v>
      </c>
      <c r="U13" s="108">
        <v>555</v>
      </c>
      <c r="V13" s="23">
        <v>0.92</v>
      </c>
      <c r="W13" s="23">
        <v>9.5</v>
      </c>
      <c r="X13" s="23"/>
      <c r="Y13" s="23"/>
      <c r="Z13" s="23"/>
      <c r="AA13" s="23"/>
      <c r="AB13" s="13"/>
      <c r="AC13" s="13"/>
      <c r="AD13" s="13"/>
      <c r="AE13" s="13"/>
      <c r="AF13" s="14" t="s">
        <v>313</v>
      </c>
      <c r="AG13" s="24"/>
    </row>
    <row r="14" spans="1:34" ht="409.5" x14ac:dyDescent="0.55000000000000004">
      <c r="A14" s="19">
        <v>2025</v>
      </c>
      <c r="B14" s="20">
        <v>2</v>
      </c>
      <c r="C14" s="106">
        <v>46069</v>
      </c>
      <c r="D14" s="23" t="s">
        <v>305</v>
      </c>
      <c r="E14" s="23" t="s">
        <v>306</v>
      </c>
      <c r="F14" s="23">
        <v>27.2</v>
      </c>
      <c r="G14" s="23">
        <v>0.33</v>
      </c>
      <c r="H14" s="23">
        <v>22.1</v>
      </c>
      <c r="I14" s="23">
        <v>0.67</v>
      </c>
      <c r="J14" s="23">
        <v>38</v>
      </c>
      <c r="K14" s="23">
        <v>130</v>
      </c>
      <c r="L14" s="23">
        <v>28.1</v>
      </c>
      <c r="M14" s="23">
        <v>1</v>
      </c>
      <c r="N14" s="23">
        <v>9</v>
      </c>
      <c r="O14" s="23">
        <v>1</v>
      </c>
      <c r="P14" s="23">
        <v>4</v>
      </c>
      <c r="Q14" s="23">
        <v>51</v>
      </c>
      <c r="R14" s="23">
        <v>144.4</v>
      </c>
      <c r="S14" s="23">
        <v>33.5</v>
      </c>
      <c r="T14" s="23">
        <v>19.399999999999999</v>
      </c>
      <c r="U14" s="108">
        <v>458</v>
      </c>
      <c r="V14" s="23">
        <v>0.88</v>
      </c>
      <c r="W14" s="23">
        <v>7.38</v>
      </c>
      <c r="X14" s="23">
        <v>114</v>
      </c>
      <c r="Y14" s="23">
        <v>160</v>
      </c>
      <c r="Z14" s="23">
        <v>145</v>
      </c>
      <c r="AA14" s="23">
        <v>140</v>
      </c>
      <c r="AB14" s="13">
        <v>7</v>
      </c>
      <c r="AC14" s="13">
        <v>5</v>
      </c>
      <c r="AD14" s="13">
        <v>6</v>
      </c>
      <c r="AE14" s="13">
        <v>4</v>
      </c>
      <c r="AF14" s="175" t="s">
        <v>578</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8"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C9211-A34B-481A-A871-DDC6AB40B6E7}">
  <sheetPr codeName="Sheet6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斎藤啓次</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51</v>
      </c>
      <c r="E8" s="13" t="s">
        <v>52</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45925</v>
      </c>
      <c r="D9" s="13" t="s">
        <v>59</v>
      </c>
      <c r="E9" s="13" t="s">
        <v>52</v>
      </c>
      <c r="F9" s="13">
        <v>23.2</v>
      </c>
      <c r="G9" s="13">
        <v>0.20200000000000001</v>
      </c>
      <c r="H9" s="13">
        <v>17.600000000000001</v>
      </c>
      <c r="I9" s="13">
        <v>0.87</v>
      </c>
      <c r="J9" s="13">
        <v>53</v>
      </c>
      <c r="K9" s="13">
        <v>152</v>
      </c>
      <c r="L9" s="13">
        <v>25.7</v>
      </c>
      <c r="M9" s="13">
        <v>1</v>
      </c>
      <c r="N9" s="13">
        <v>10</v>
      </c>
      <c r="O9" s="13">
        <v>2</v>
      </c>
      <c r="P9" s="13">
        <v>7</v>
      </c>
      <c r="Q9" s="13">
        <v>40</v>
      </c>
      <c r="R9" s="13">
        <v>138.9</v>
      </c>
      <c r="S9" s="13">
        <v>31.9</v>
      </c>
      <c r="T9" s="13">
        <v>19</v>
      </c>
      <c r="U9" s="108">
        <v>404</v>
      </c>
      <c r="V9" s="22">
        <v>0.86</v>
      </c>
      <c r="W9" s="13">
        <v>6.98</v>
      </c>
      <c r="X9" s="13">
        <v>167</v>
      </c>
      <c r="Y9" s="13">
        <v>176</v>
      </c>
      <c r="Z9" s="13">
        <v>182</v>
      </c>
      <c r="AA9" s="13">
        <v>198</v>
      </c>
      <c r="AB9" s="13">
        <v>11</v>
      </c>
      <c r="AC9" s="13">
        <v>12</v>
      </c>
      <c r="AD9" s="13">
        <v>13</v>
      </c>
      <c r="AE9" s="13">
        <v>14</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59</v>
      </c>
      <c r="E11" s="23" t="s">
        <v>52</v>
      </c>
      <c r="F11" s="23">
        <v>24.2</v>
      </c>
      <c r="G11" s="23">
        <v>0.16400000000000001</v>
      </c>
      <c r="H11" s="23">
        <v>19.100000000000001</v>
      </c>
      <c r="I11" s="23">
        <v>1.17</v>
      </c>
      <c r="J11" s="23">
        <v>62</v>
      </c>
      <c r="K11" s="23">
        <v>174</v>
      </c>
      <c r="L11" s="23">
        <v>25.2</v>
      </c>
      <c r="M11" s="23">
        <v>10</v>
      </c>
      <c r="N11" s="23">
        <v>10</v>
      </c>
      <c r="O11" s="23">
        <v>8</v>
      </c>
      <c r="P11" s="23">
        <v>9</v>
      </c>
      <c r="Q11" s="23">
        <v>42</v>
      </c>
      <c r="R11" s="23">
        <v>139.30000000000001</v>
      </c>
      <c r="S11" s="23">
        <v>30.5</v>
      </c>
      <c r="T11" s="23">
        <v>20</v>
      </c>
      <c r="U11" s="108">
        <v>586</v>
      </c>
      <c r="V11" s="23">
        <v>0.93</v>
      </c>
      <c r="W11" s="23">
        <v>6.67</v>
      </c>
      <c r="X11" s="23">
        <v>171</v>
      </c>
      <c r="Y11" s="23">
        <v>180</v>
      </c>
      <c r="Z11" s="23">
        <v>185</v>
      </c>
      <c r="AA11" s="23">
        <v>186</v>
      </c>
      <c r="AB11" s="13">
        <v>11</v>
      </c>
      <c r="AC11" s="13">
        <v>12</v>
      </c>
      <c r="AD11" s="13">
        <v>13</v>
      </c>
      <c r="AE11" s="13">
        <v>14</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59</v>
      </c>
      <c r="E13" s="23" t="s">
        <v>52</v>
      </c>
      <c r="F13" s="23">
        <v>26.2</v>
      </c>
      <c r="G13" s="23">
        <v>0.187</v>
      </c>
      <c r="H13" s="23">
        <v>15.6</v>
      </c>
      <c r="I13" s="23">
        <v>0.84</v>
      </c>
      <c r="J13" s="23">
        <v>57</v>
      </c>
      <c r="K13" s="23">
        <v>173</v>
      </c>
      <c r="L13" s="23">
        <v>25.4</v>
      </c>
      <c r="M13" s="23">
        <v>10</v>
      </c>
      <c r="N13" s="23">
        <v>9</v>
      </c>
      <c r="O13" s="23">
        <v>7</v>
      </c>
      <c r="P13" s="23">
        <v>6</v>
      </c>
      <c r="Q13" s="23">
        <v>41</v>
      </c>
      <c r="R13" s="23">
        <v>139.69999999999999</v>
      </c>
      <c r="S13" s="23">
        <v>31.5</v>
      </c>
      <c r="T13" s="23">
        <v>20.8</v>
      </c>
      <c r="U13" s="108">
        <v>648</v>
      </c>
      <c r="V13" s="23">
        <v>0.95</v>
      </c>
      <c r="W13" s="23">
        <v>6.56</v>
      </c>
      <c r="X13" s="23">
        <v>140</v>
      </c>
      <c r="Y13" s="23">
        <v>149</v>
      </c>
      <c r="Z13" s="23">
        <v>163</v>
      </c>
      <c r="AA13" s="23">
        <v>165</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76FBC-C8CA-46F5-B22E-26631B5943F3}">
  <sheetPr codeName="Sheet6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熊倉志道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83</v>
      </c>
      <c r="E8" s="13" t="s">
        <v>52</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84</v>
      </c>
      <c r="E9" s="13" t="s">
        <v>52</v>
      </c>
      <c r="F9" s="13">
        <v>17.8</v>
      </c>
      <c r="G9" s="13">
        <v>0.216</v>
      </c>
      <c r="H9" s="13">
        <v>12.6</v>
      </c>
      <c r="I9" s="13">
        <v>0.57999999999999996</v>
      </c>
      <c r="J9" s="13">
        <v>55</v>
      </c>
      <c r="K9" s="13">
        <v>138</v>
      </c>
      <c r="L9" s="13">
        <v>17.100000000000001</v>
      </c>
      <c r="M9" s="13">
        <v>3</v>
      </c>
      <c r="N9" s="13">
        <v>10</v>
      </c>
      <c r="O9" s="13">
        <v>7</v>
      </c>
      <c r="P9" s="13">
        <v>7</v>
      </c>
      <c r="Q9" s="13">
        <v>46</v>
      </c>
      <c r="R9" s="13">
        <v>137.19999999999999</v>
      </c>
      <c r="S9" s="13">
        <v>35.200000000000003</v>
      </c>
      <c r="T9" s="13">
        <v>18.5</v>
      </c>
      <c r="U9" s="108">
        <v>417</v>
      </c>
      <c r="V9" s="22">
        <v>0.87</v>
      </c>
      <c r="W9" s="13">
        <v>7.42</v>
      </c>
      <c r="X9" s="13">
        <v>190</v>
      </c>
      <c r="Y9" s="13">
        <v>196</v>
      </c>
      <c r="Z9" s="13">
        <v>202</v>
      </c>
      <c r="AA9" s="13">
        <v>210</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69</v>
      </c>
      <c r="E11" s="23" t="s">
        <v>52</v>
      </c>
      <c r="F11" s="23">
        <v>17</v>
      </c>
      <c r="G11" s="23">
        <v>0.19400000000000001</v>
      </c>
      <c r="H11" s="23">
        <v>15.3</v>
      </c>
      <c r="I11" s="23">
        <v>0.79</v>
      </c>
      <c r="J11" s="23">
        <v>46</v>
      </c>
      <c r="K11" s="23">
        <v>147</v>
      </c>
      <c r="L11" s="23">
        <v>14.3</v>
      </c>
      <c r="M11" s="23">
        <v>4</v>
      </c>
      <c r="N11" s="23">
        <v>10</v>
      </c>
      <c r="O11" s="23">
        <v>8</v>
      </c>
      <c r="P11" s="23">
        <v>6</v>
      </c>
      <c r="Q11" s="23">
        <v>46</v>
      </c>
      <c r="R11" s="23">
        <v>138.19999999999999</v>
      </c>
      <c r="S11" s="23">
        <v>35</v>
      </c>
      <c r="T11" s="23">
        <v>18.7</v>
      </c>
      <c r="U11" s="108">
        <v>515</v>
      </c>
      <c r="V11" s="23">
        <v>0.91</v>
      </c>
      <c r="W11" s="23">
        <v>7.43</v>
      </c>
      <c r="X11" s="23">
        <v>190</v>
      </c>
      <c r="Y11" s="23">
        <v>193</v>
      </c>
      <c r="Z11" s="23">
        <v>190</v>
      </c>
      <c r="AA11" s="23">
        <v>197</v>
      </c>
      <c r="AB11" s="13">
        <v>7</v>
      </c>
      <c r="AC11" s="13">
        <v>8</v>
      </c>
      <c r="AD11" s="13">
        <v>7</v>
      </c>
      <c r="AE11" s="13">
        <v>8</v>
      </c>
      <c r="AF11" s="14"/>
      <c r="AG11" s="24"/>
    </row>
    <row r="12" spans="1:34" x14ac:dyDescent="0.55000000000000004">
      <c r="A12" s="19">
        <v>2025</v>
      </c>
      <c r="B12" s="20">
        <v>12</v>
      </c>
      <c r="C12" s="106">
        <v>46015</v>
      </c>
      <c r="D12" s="23" t="s">
        <v>69</v>
      </c>
      <c r="E12" s="23" t="s">
        <v>52</v>
      </c>
      <c r="F12" s="23">
        <v>17.8</v>
      </c>
      <c r="G12" s="23">
        <v>0.17499999999999999</v>
      </c>
      <c r="H12" s="23">
        <v>15.2</v>
      </c>
      <c r="I12" s="23">
        <v>0.87</v>
      </c>
      <c r="J12" s="23">
        <v>61</v>
      </c>
      <c r="K12" s="23">
        <v>149</v>
      </c>
      <c r="L12" s="23">
        <v>17.100000000000001</v>
      </c>
      <c r="M12" s="23">
        <v>5</v>
      </c>
      <c r="N12" s="23">
        <v>9</v>
      </c>
      <c r="O12" s="23">
        <v>8</v>
      </c>
      <c r="P12" s="23">
        <v>8</v>
      </c>
      <c r="Q12" s="23">
        <v>45</v>
      </c>
      <c r="R12" s="23">
        <v>139</v>
      </c>
      <c r="S12" s="23">
        <v>34.700000000000003</v>
      </c>
      <c r="T12" s="23">
        <v>20.3</v>
      </c>
      <c r="U12" s="108">
        <v>498</v>
      </c>
      <c r="V12" s="23">
        <v>0.89</v>
      </c>
      <c r="W12" s="23">
        <v>7.07</v>
      </c>
      <c r="X12" s="23">
        <v>182</v>
      </c>
      <c r="Y12" s="23">
        <v>194</v>
      </c>
      <c r="Z12" s="23">
        <v>200</v>
      </c>
      <c r="AA12" s="23">
        <v>204</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0CA4-3326-4F9A-9188-65BA3A2DEE69}">
  <sheetPr codeName="Sheet6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81</v>
      </c>
      <c r="E8" s="13" t="s">
        <v>52</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82</v>
      </c>
      <c r="E11" s="23" t="s">
        <v>52</v>
      </c>
      <c r="F11" s="23">
        <v>30.6</v>
      </c>
      <c r="G11" s="23">
        <v>0.215</v>
      </c>
      <c r="H11" s="23">
        <v>16.899999999999999</v>
      </c>
      <c r="I11" s="23">
        <v>0.78</v>
      </c>
      <c r="J11" s="23">
        <v>48</v>
      </c>
      <c r="K11" s="23">
        <v>176</v>
      </c>
      <c r="L11" s="23">
        <v>30.2</v>
      </c>
      <c r="M11" s="23">
        <v>5</v>
      </c>
      <c r="N11" s="23">
        <v>10</v>
      </c>
      <c r="O11" s="23">
        <v>6</v>
      </c>
      <c r="P11" s="23">
        <v>4</v>
      </c>
      <c r="Q11" s="23">
        <v>43</v>
      </c>
      <c r="R11" s="23">
        <v>163.5</v>
      </c>
      <c r="S11" s="23">
        <v>59.8</v>
      </c>
      <c r="T11" s="23">
        <v>22.1</v>
      </c>
      <c r="U11" s="108">
        <v>649</v>
      </c>
      <c r="V11" s="23">
        <v>0.94</v>
      </c>
      <c r="W11" s="23">
        <v>7.47</v>
      </c>
      <c r="X11" s="23">
        <v>165</v>
      </c>
      <c r="Y11" s="23">
        <v>168</v>
      </c>
      <c r="Z11" s="23">
        <v>177</v>
      </c>
      <c r="AA11" s="23">
        <v>177</v>
      </c>
      <c r="AB11" s="13">
        <v>9</v>
      </c>
      <c r="AC11" s="13">
        <v>10</v>
      </c>
      <c r="AD11" s="13">
        <v>11</v>
      </c>
      <c r="AE11" s="13">
        <v>12</v>
      </c>
      <c r="AF11" s="14"/>
      <c r="AG11" s="24"/>
    </row>
    <row r="12" spans="1:34" x14ac:dyDescent="0.55000000000000004">
      <c r="A12" s="19">
        <v>2025</v>
      </c>
      <c r="B12" s="20">
        <v>12</v>
      </c>
      <c r="C12" s="106">
        <v>46017</v>
      </c>
      <c r="D12" s="23" t="s">
        <v>82</v>
      </c>
      <c r="E12" s="23" t="s">
        <v>52</v>
      </c>
      <c r="F12" s="23">
        <v>25.8</v>
      </c>
      <c r="G12" s="23">
        <v>0.246</v>
      </c>
      <c r="H12" s="23">
        <v>16.899999999999999</v>
      </c>
      <c r="I12" s="23">
        <v>0.78</v>
      </c>
      <c r="J12" s="23">
        <v>48</v>
      </c>
      <c r="K12" s="23">
        <v>176</v>
      </c>
      <c r="L12" s="23">
        <v>30.2</v>
      </c>
      <c r="M12" s="23">
        <v>6</v>
      </c>
      <c r="N12" s="23">
        <v>10</v>
      </c>
      <c r="O12" s="23">
        <v>6</v>
      </c>
      <c r="P12" s="23">
        <v>4</v>
      </c>
      <c r="Q12" s="23">
        <v>42</v>
      </c>
      <c r="R12" s="23">
        <v>163.4</v>
      </c>
      <c r="S12" s="23">
        <v>60.9</v>
      </c>
      <c r="T12" s="23">
        <v>23.4</v>
      </c>
      <c r="U12" s="108">
        <v>603</v>
      </c>
      <c r="V12" s="23">
        <v>0.91</v>
      </c>
      <c r="W12" s="23">
        <v>7.21</v>
      </c>
      <c r="X12" s="23">
        <v>151</v>
      </c>
      <c r="Y12" s="23">
        <v>161</v>
      </c>
      <c r="Z12" s="23">
        <v>174</v>
      </c>
      <c r="AA12" s="23">
        <v>185</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A3E5D-905B-4890-8112-C7CC719B054A}">
  <sheetPr codeName="Sheet6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堀越亮佑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76</v>
      </c>
      <c r="E8" s="13" t="s">
        <v>52</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63</v>
      </c>
      <c r="E11" s="23" t="s">
        <v>52</v>
      </c>
      <c r="F11" s="23">
        <v>25.4</v>
      </c>
      <c r="G11" s="23">
        <v>0.187</v>
      </c>
      <c r="H11" s="23">
        <v>24.8</v>
      </c>
      <c r="I11" s="23">
        <v>1.33</v>
      </c>
      <c r="J11" s="23">
        <v>57</v>
      </c>
      <c r="K11" s="23">
        <v>182</v>
      </c>
      <c r="L11" s="23">
        <v>25.3</v>
      </c>
      <c r="M11" s="23">
        <v>5</v>
      </c>
      <c r="N11" s="23">
        <v>8</v>
      </c>
      <c r="O11" s="23">
        <v>5</v>
      </c>
      <c r="P11" s="23">
        <v>5</v>
      </c>
      <c r="Q11" s="23">
        <v>43</v>
      </c>
      <c r="R11" s="23">
        <v>149.5</v>
      </c>
      <c r="S11" s="23">
        <v>40.700000000000003</v>
      </c>
      <c r="T11" s="23">
        <v>19.899999999999999</v>
      </c>
      <c r="U11" s="108">
        <v>491</v>
      </c>
      <c r="V11" s="23">
        <v>0.89</v>
      </c>
      <c r="W11" s="23">
        <v>6.39</v>
      </c>
      <c r="X11" s="23">
        <v>173</v>
      </c>
      <c r="Y11" s="23">
        <v>177</v>
      </c>
      <c r="Z11" s="23">
        <v>182</v>
      </c>
      <c r="AA11" s="23">
        <v>186</v>
      </c>
      <c r="AB11" s="13">
        <v>9</v>
      </c>
      <c r="AC11" s="13">
        <v>10</v>
      </c>
      <c r="AD11" s="13">
        <v>11</v>
      </c>
      <c r="AE11" s="13">
        <v>12</v>
      </c>
      <c r="AF11" s="14"/>
      <c r="AG11" s="24"/>
    </row>
    <row r="12" spans="1:34" x14ac:dyDescent="0.55000000000000004">
      <c r="A12" s="19">
        <v>2025</v>
      </c>
      <c r="B12" s="20">
        <v>12</v>
      </c>
      <c r="C12" s="106">
        <v>46017</v>
      </c>
      <c r="D12" s="23" t="s">
        <v>63</v>
      </c>
      <c r="E12" s="23" t="s">
        <v>52</v>
      </c>
      <c r="F12" s="23">
        <v>27.9</v>
      </c>
      <c r="G12" s="23">
        <v>0.17299999999999999</v>
      </c>
      <c r="H12" s="23">
        <v>21.9</v>
      </c>
      <c r="I12" s="23">
        <v>1.27</v>
      </c>
      <c r="J12" s="23">
        <v>48</v>
      </c>
      <c r="K12" s="23">
        <v>179</v>
      </c>
      <c r="L12" s="23">
        <v>24.9</v>
      </c>
      <c r="M12" s="23">
        <v>8</v>
      </c>
      <c r="N12" s="23">
        <v>9</v>
      </c>
      <c r="O12" s="23">
        <v>5</v>
      </c>
      <c r="P12" s="23">
        <v>5</v>
      </c>
      <c r="Q12" s="23">
        <v>44</v>
      </c>
      <c r="R12" s="23">
        <v>151.1</v>
      </c>
      <c r="S12" s="23">
        <v>41.3</v>
      </c>
      <c r="T12" s="23">
        <v>19.7</v>
      </c>
      <c r="U12" s="108">
        <v>417</v>
      </c>
      <c r="V12" s="23">
        <v>0.86</v>
      </c>
      <c r="W12" s="23">
        <v>6.03</v>
      </c>
      <c r="X12" s="23">
        <v>148</v>
      </c>
      <c r="Y12" s="23">
        <v>150</v>
      </c>
      <c r="Z12" s="23">
        <v>159</v>
      </c>
      <c r="AA12" s="23">
        <v>181</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6CF38-7135-48D3-AA01-E13588317555}">
  <sheetPr codeName="Sheet67">
    <tabColor rgb="FFFF0000"/>
    <pageSetUpPr fitToPage="1"/>
  </sheetPr>
  <dimension ref="A1:AH44"/>
  <sheetViews>
    <sheetView topLeftCell="P1" zoomScale="95" zoomScaleNormal="9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平子創介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61</v>
      </c>
      <c r="E8" s="13" t="s">
        <v>52</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59</v>
      </c>
      <c r="E10" s="23" t="s">
        <v>52</v>
      </c>
      <c r="F10" s="23">
        <v>32.799999999999997</v>
      </c>
      <c r="G10" s="23">
        <v>0.14299999999999999</v>
      </c>
      <c r="H10" s="23">
        <v>31.3</v>
      </c>
      <c r="I10" s="23">
        <v>2.19</v>
      </c>
      <c r="J10" s="23">
        <v>61</v>
      </c>
      <c r="K10" s="23">
        <v>182</v>
      </c>
      <c r="L10" s="23">
        <v>30.9</v>
      </c>
      <c r="M10" s="23">
        <v>5</v>
      </c>
      <c r="N10" s="23">
        <v>10</v>
      </c>
      <c r="O10" s="23">
        <v>8</v>
      </c>
      <c r="P10" s="23">
        <v>3</v>
      </c>
      <c r="Q10" s="23">
        <v>45</v>
      </c>
      <c r="R10" s="23">
        <v>160.1</v>
      </c>
      <c r="S10" s="23">
        <v>54.8</v>
      </c>
      <c r="T10" s="23">
        <v>25.6</v>
      </c>
      <c r="U10" s="108">
        <v>692</v>
      </c>
      <c r="V10" s="23">
        <v>0.93</v>
      </c>
      <c r="W10" s="23">
        <v>6.25</v>
      </c>
      <c r="X10" s="23">
        <v>164</v>
      </c>
      <c r="Y10" s="23">
        <v>176</v>
      </c>
      <c r="Z10" s="23">
        <v>183</v>
      </c>
      <c r="AA10" s="23">
        <v>182</v>
      </c>
      <c r="AB10" s="13">
        <v>8</v>
      </c>
      <c r="AC10" s="13">
        <v>9</v>
      </c>
      <c r="AD10" s="13">
        <v>10</v>
      </c>
      <c r="AE10" s="13">
        <v>11</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63</v>
      </c>
      <c r="E12" s="23" t="s">
        <v>52</v>
      </c>
      <c r="F12" s="23">
        <v>32.9</v>
      </c>
      <c r="G12" s="23">
        <v>0.14599999999999999</v>
      </c>
      <c r="H12" s="23">
        <v>31.1</v>
      </c>
      <c r="I12" s="23">
        <v>2.13</v>
      </c>
      <c r="J12" s="23">
        <v>61</v>
      </c>
      <c r="K12" s="23">
        <v>190</v>
      </c>
      <c r="L12" s="23">
        <v>31.9</v>
      </c>
      <c r="M12" s="23">
        <v>6</v>
      </c>
      <c r="N12" s="23">
        <v>10</v>
      </c>
      <c r="O12" s="23">
        <v>5</v>
      </c>
      <c r="P12" s="23">
        <v>5</v>
      </c>
      <c r="Q12" s="23">
        <v>48</v>
      </c>
      <c r="R12" s="23">
        <v>159.69999999999999</v>
      </c>
      <c r="S12" s="23">
        <v>55.7</v>
      </c>
      <c r="T12" s="23">
        <v>26.7</v>
      </c>
      <c r="U12" s="108">
        <v>689</v>
      </c>
      <c r="V12" s="23">
        <v>0.92</v>
      </c>
      <c r="W12" s="23">
        <v>6.16</v>
      </c>
      <c r="X12" s="23">
        <v>187</v>
      </c>
      <c r="Y12" s="23">
        <v>188</v>
      </c>
      <c r="Z12" s="23">
        <v>193</v>
      </c>
      <c r="AA12" s="23">
        <v>193</v>
      </c>
      <c r="AB12" s="13">
        <v>8</v>
      </c>
      <c r="AC12" s="13">
        <v>9</v>
      </c>
      <c r="AD12" s="13">
        <v>10</v>
      </c>
      <c r="AE12" s="13">
        <v>11</v>
      </c>
      <c r="AF12" s="14"/>
      <c r="AG12" s="24"/>
    </row>
    <row r="13" spans="1:34" ht="409.5" x14ac:dyDescent="0.55000000000000004">
      <c r="A13" s="19">
        <v>2025</v>
      </c>
      <c r="B13" s="20">
        <v>1</v>
      </c>
      <c r="C13" s="106">
        <v>46050</v>
      </c>
      <c r="D13" s="23" t="s">
        <v>63</v>
      </c>
      <c r="E13" s="23" t="s">
        <v>52</v>
      </c>
      <c r="F13" s="23">
        <v>35.200000000000003</v>
      </c>
      <c r="G13" s="23">
        <v>0.14799999999999999</v>
      </c>
      <c r="H13" s="23">
        <v>25.3</v>
      </c>
      <c r="I13" s="23">
        <v>1.71</v>
      </c>
      <c r="J13" s="23">
        <v>62</v>
      </c>
      <c r="K13" s="23">
        <v>189</v>
      </c>
      <c r="L13" s="23">
        <v>33.799999999999997</v>
      </c>
      <c r="M13" s="23">
        <v>7</v>
      </c>
      <c r="N13" s="23">
        <v>10</v>
      </c>
      <c r="O13" s="23">
        <v>7</v>
      </c>
      <c r="P13" s="23">
        <v>5</v>
      </c>
      <c r="Q13" s="23">
        <v>46</v>
      </c>
      <c r="R13" s="23">
        <v>161.9</v>
      </c>
      <c r="S13" s="23">
        <v>56.6</v>
      </c>
      <c r="T13" s="23">
        <v>26</v>
      </c>
      <c r="U13" s="108">
        <v>653</v>
      </c>
      <c r="V13" s="23">
        <v>0.91</v>
      </c>
      <c r="W13" s="23">
        <v>6.44</v>
      </c>
      <c r="X13" s="23">
        <v>160</v>
      </c>
      <c r="Y13" s="23">
        <v>178</v>
      </c>
      <c r="Z13" s="23">
        <v>186</v>
      </c>
      <c r="AA13" s="23">
        <v>191</v>
      </c>
      <c r="AB13" s="13">
        <v>8</v>
      </c>
      <c r="AC13" s="13">
        <v>9</v>
      </c>
      <c r="AD13" s="13">
        <v>10</v>
      </c>
      <c r="AE13" s="13">
        <v>11</v>
      </c>
      <c r="AF13" s="175" t="s">
        <v>424</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1A1E2-F537-45A6-9021-4AEDF10A7D48}">
  <sheetPr codeName="Sheet6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大塚直幸</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68</v>
      </c>
      <c r="E8" s="13" t="s">
        <v>52</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72</v>
      </c>
      <c r="E9" s="13" t="s">
        <v>52</v>
      </c>
      <c r="F9" s="13">
        <v>24.9</v>
      </c>
      <c r="G9" s="13">
        <v>0.16</v>
      </c>
      <c r="H9" s="13">
        <v>22.7</v>
      </c>
      <c r="I9" s="13">
        <v>1.42</v>
      </c>
      <c r="J9" s="13">
        <v>49</v>
      </c>
      <c r="K9" s="13">
        <v>148</v>
      </c>
      <c r="L9" s="13">
        <v>25.3</v>
      </c>
      <c r="M9" s="13">
        <v>6</v>
      </c>
      <c r="N9" s="13">
        <v>10</v>
      </c>
      <c r="O9" s="13">
        <v>2</v>
      </c>
      <c r="P9" s="13">
        <v>6</v>
      </c>
      <c r="Q9" s="13">
        <v>42</v>
      </c>
      <c r="R9" s="13">
        <v>137.4</v>
      </c>
      <c r="S9" s="13">
        <v>39.5</v>
      </c>
      <c r="T9" s="13">
        <v>19.399999999999999</v>
      </c>
      <c r="U9" s="108">
        <v>458</v>
      </c>
      <c r="V9" s="22">
        <v>0.88</v>
      </c>
      <c r="W9" s="13">
        <v>6.65</v>
      </c>
      <c r="X9" s="13">
        <v>200</v>
      </c>
      <c r="Y9" s="13">
        <v>200</v>
      </c>
      <c r="Z9" s="13">
        <v>205</v>
      </c>
      <c r="AA9" s="13">
        <v>210</v>
      </c>
      <c r="AB9" s="13">
        <v>9</v>
      </c>
      <c r="AC9" s="13">
        <v>10</v>
      </c>
      <c r="AD9" s="13">
        <v>8</v>
      </c>
      <c r="AE9" s="13">
        <v>10</v>
      </c>
      <c r="AF9" s="14"/>
      <c r="AG9" s="15"/>
    </row>
    <row r="10" spans="1:34" x14ac:dyDescent="0.55000000000000004">
      <c r="A10" s="19">
        <v>2025</v>
      </c>
      <c r="B10" s="20">
        <v>10</v>
      </c>
      <c r="C10" s="106">
        <v>45961</v>
      </c>
      <c r="D10" s="23" t="s">
        <v>72</v>
      </c>
      <c r="E10" s="23" t="s">
        <v>52</v>
      </c>
      <c r="F10" s="23">
        <v>25.5</v>
      </c>
      <c r="G10" s="23">
        <v>0.19400000000000001</v>
      </c>
      <c r="H10" s="23">
        <v>19</v>
      </c>
      <c r="I10" s="23">
        <v>0.98</v>
      </c>
      <c r="J10" s="23">
        <v>41</v>
      </c>
      <c r="K10" s="23">
        <v>142</v>
      </c>
      <c r="L10" s="23">
        <v>25.6</v>
      </c>
      <c r="M10" s="23">
        <v>6</v>
      </c>
      <c r="N10" s="23">
        <v>10</v>
      </c>
      <c r="O10" s="23">
        <v>3</v>
      </c>
      <c r="P10" s="23">
        <v>5</v>
      </c>
      <c r="Q10" s="23">
        <v>44</v>
      </c>
      <c r="R10" s="23">
        <v>138.19999999999999</v>
      </c>
      <c r="S10" s="23">
        <v>38</v>
      </c>
      <c r="T10" s="23">
        <v>19.899999999999999</v>
      </c>
      <c r="U10" s="108">
        <v>421</v>
      </c>
      <c r="V10" s="23">
        <v>0.86</v>
      </c>
      <c r="W10" s="23"/>
      <c r="X10" s="23">
        <v>160</v>
      </c>
      <c r="Y10" s="23">
        <v>167</v>
      </c>
      <c r="Z10" s="23">
        <v>175</v>
      </c>
      <c r="AA10" s="23">
        <v>183</v>
      </c>
      <c r="AB10" s="13">
        <v>7</v>
      </c>
      <c r="AC10" s="13">
        <v>8</v>
      </c>
      <c r="AD10" s="13">
        <v>9</v>
      </c>
      <c r="AE10" s="13">
        <v>10</v>
      </c>
      <c r="AF10" s="14"/>
      <c r="AG10" s="24"/>
    </row>
    <row r="11" spans="1:34" x14ac:dyDescent="0.55000000000000004">
      <c r="A11" s="19">
        <v>2025</v>
      </c>
      <c r="B11" s="20">
        <v>11</v>
      </c>
      <c r="C11" s="106">
        <v>45989</v>
      </c>
      <c r="D11" s="23" t="s">
        <v>72</v>
      </c>
      <c r="E11" s="23" t="s">
        <v>52</v>
      </c>
      <c r="F11" s="23">
        <v>27.4</v>
      </c>
      <c r="G11" s="23">
        <v>0.17499999999999999</v>
      </c>
      <c r="H11" s="23">
        <v>19.2</v>
      </c>
      <c r="I11" s="23">
        <v>1.1000000000000001</v>
      </c>
      <c r="J11" s="23">
        <v>53</v>
      </c>
      <c r="K11" s="23">
        <v>147</v>
      </c>
      <c r="L11" s="23">
        <v>26.3</v>
      </c>
      <c r="M11" s="23">
        <v>7</v>
      </c>
      <c r="N11" s="23">
        <v>10</v>
      </c>
      <c r="O11" s="23">
        <v>6</v>
      </c>
      <c r="P11" s="23">
        <v>8</v>
      </c>
      <c r="Q11" s="23">
        <v>55</v>
      </c>
      <c r="R11" s="23">
        <v>138.19999999999999</v>
      </c>
      <c r="S11" s="23">
        <v>40.5</v>
      </c>
      <c r="T11" s="23">
        <v>20.2</v>
      </c>
      <c r="U11" s="108">
        <v>426</v>
      </c>
      <c r="V11" s="23">
        <v>0.86</v>
      </c>
      <c r="W11" s="23">
        <v>6.63</v>
      </c>
      <c r="X11" s="23"/>
      <c r="Y11" s="23"/>
      <c r="Z11" s="23"/>
      <c r="AA11" s="23"/>
      <c r="AB11" s="13"/>
      <c r="AC11" s="13"/>
      <c r="AD11" s="13"/>
      <c r="AE11" s="13"/>
      <c r="AF11" s="14"/>
      <c r="AG11" s="24"/>
    </row>
    <row r="12" spans="1:34" x14ac:dyDescent="0.55000000000000004">
      <c r="A12" s="19">
        <v>2025</v>
      </c>
      <c r="B12" s="20">
        <v>12</v>
      </c>
      <c r="C12" s="106">
        <v>46017</v>
      </c>
      <c r="D12" s="23" t="s">
        <v>72</v>
      </c>
      <c r="E12" s="23" t="s">
        <v>52</v>
      </c>
      <c r="F12" s="23">
        <v>25</v>
      </c>
      <c r="G12" s="23">
        <v>0.157</v>
      </c>
      <c r="H12" s="23">
        <v>19.100000000000001</v>
      </c>
      <c r="I12" s="23">
        <v>1.28</v>
      </c>
      <c r="J12" s="23">
        <v>53</v>
      </c>
      <c r="K12" s="23">
        <v>149</v>
      </c>
      <c r="L12" s="23">
        <v>25.2</v>
      </c>
      <c r="M12" s="23">
        <v>7</v>
      </c>
      <c r="N12" s="23">
        <v>10</v>
      </c>
      <c r="O12" s="23">
        <v>5</v>
      </c>
      <c r="P12" s="23">
        <v>6</v>
      </c>
      <c r="Q12" s="23">
        <v>42</v>
      </c>
      <c r="R12" s="23">
        <v>138.5</v>
      </c>
      <c r="S12" s="23">
        <v>41.2</v>
      </c>
      <c r="T12" s="23">
        <v>20.2</v>
      </c>
      <c r="U12" s="108">
        <v>496</v>
      </c>
      <c r="V12" s="23">
        <v>0.89</v>
      </c>
      <c r="W12" s="23">
        <v>6.58</v>
      </c>
      <c r="X12" s="23">
        <v>155</v>
      </c>
      <c r="Y12" s="23">
        <v>180</v>
      </c>
      <c r="Z12" s="23">
        <v>192</v>
      </c>
      <c r="AA12" s="23">
        <v>205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866A-ECDC-4D00-B759-C6A19D5F6A37}">
  <sheetPr codeName="Sheet2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大塚真結美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379</v>
      </c>
      <c r="E8" s="13" t="s">
        <v>65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67</v>
      </c>
      <c r="E10" s="23" t="s">
        <v>65</v>
      </c>
      <c r="F10" s="23">
        <v>18.100000000000001</v>
      </c>
      <c r="G10" s="23">
        <v>0.20100000000000001</v>
      </c>
      <c r="H10" s="23">
        <v>18.5</v>
      </c>
      <c r="I10" s="23">
        <v>0.92</v>
      </c>
      <c r="J10" s="23">
        <v>50</v>
      </c>
      <c r="K10" s="23">
        <v>123</v>
      </c>
      <c r="L10" s="23">
        <v>19.8</v>
      </c>
      <c r="M10" s="23">
        <v>5</v>
      </c>
      <c r="N10" s="23">
        <v>5</v>
      </c>
      <c r="O10" s="23">
        <v>7</v>
      </c>
      <c r="P10" s="23">
        <v>6</v>
      </c>
      <c r="Q10" s="23">
        <v>51</v>
      </c>
      <c r="R10" s="23">
        <v>120.6</v>
      </c>
      <c r="S10" s="23">
        <v>18.899999999999999</v>
      </c>
      <c r="T10" s="23">
        <v>13</v>
      </c>
      <c r="U10" s="108">
        <v>440</v>
      </c>
      <c r="V10" s="23">
        <v>0.92</v>
      </c>
      <c r="W10" s="23">
        <v>8.02</v>
      </c>
      <c r="X10" s="23">
        <v>177</v>
      </c>
      <c r="Y10" s="23">
        <v>182</v>
      </c>
      <c r="Z10" s="23">
        <v>199</v>
      </c>
      <c r="AA10" s="23">
        <v>200</v>
      </c>
      <c r="AB10" s="13">
        <v>6</v>
      </c>
      <c r="AC10" s="13">
        <v>7</v>
      </c>
      <c r="AD10" s="13">
        <v>8</v>
      </c>
      <c r="AE10" s="13">
        <v>9</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84</v>
      </c>
      <c r="E12" s="23" t="s">
        <v>65</v>
      </c>
      <c r="F12" s="23">
        <v>17.7</v>
      </c>
      <c r="G12" s="23">
        <v>0.21</v>
      </c>
      <c r="H12" s="23">
        <v>18.3</v>
      </c>
      <c r="I12" s="23">
        <v>0.81</v>
      </c>
      <c r="J12" s="23">
        <v>46</v>
      </c>
      <c r="K12" s="23">
        <v>118</v>
      </c>
      <c r="L12" s="23">
        <v>17.399999999999999</v>
      </c>
      <c r="M12" s="23">
        <v>5</v>
      </c>
      <c r="N12" s="23">
        <v>6</v>
      </c>
      <c r="O12" s="23">
        <v>10</v>
      </c>
      <c r="P12" s="23">
        <v>8</v>
      </c>
      <c r="Q12" s="23">
        <v>47</v>
      </c>
      <c r="R12" s="23">
        <v>121</v>
      </c>
      <c r="S12" s="23">
        <v>22.7</v>
      </c>
      <c r="T12" s="23">
        <v>14.1</v>
      </c>
      <c r="U12" s="108">
        <v>416</v>
      </c>
      <c r="V12" s="23">
        <v>0.9</v>
      </c>
      <c r="W12" s="23">
        <v>7.73</v>
      </c>
      <c r="X12" s="23">
        <v>170</v>
      </c>
      <c r="Y12" s="23">
        <v>176</v>
      </c>
      <c r="Z12" s="23">
        <v>194</v>
      </c>
      <c r="AA12" s="23">
        <v>200</v>
      </c>
      <c r="AB12" s="13">
        <v>5</v>
      </c>
      <c r="AC12" s="13">
        <v>6</v>
      </c>
      <c r="AD12" s="13">
        <v>7</v>
      </c>
      <c r="AE12" s="13">
        <v>8</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41232-245D-4292-8097-3F369A31C67E}">
  <sheetPr codeName="Sheet2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高田賢吾</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83</v>
      </c>
      <c r="E9" s="13" t="s">
        <v>52</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69</v>
      </c>
      <c r="E10" s="23" t="s">
        <v>52</v>
      </c>
      <c r="F10" s="23">
        <v>28.2</v>
      </c>
      <c r="G10" s="23">
        <v>0.22900000000000001</v>
      </c>
      <c r="H10" s="23">
        <v>22</v>
      </c>
      <c r="I10" s="23">
        <v>0.96</v>
      </c>
      <c r="J10" s="23">
        <v>61</v>
      </c>
      <c r="K10" s="23">
        <v>152</v>
      </c>
      <c r="L10" s="23">
        <v>27.1</v>
      </c>
      <c r="M10" s="23">
        <v>1</v>
      </c>
      <c r="N10" s="23">
        <v>10</v>
      </c>
      <c r="O10" s="23">
        <v>5</v>
      </c>
      <c r="P10" s="23">
        <v>7</v>
      </c>
      <c r="Q10" s="23">
        <v>43</v>
      </c>
      <c r="R10" s="23">
        <v>130.5</v>
      </c>
      <c r="S10" s="23">
        <v>25</v>
      </c>
      <c r="T10" s="23">
        <v>18.5</v>
      </c>
      <c r="U10" s="108">
        <v>557</v>
      </c>
      <c r="V10" s="23">
        <v>0.93</v>
      </c>
      <c r="W10" s="23">
        <v>6.98</v>
      </c>
      <c r="X10" s="23">
        <v>137</v>
      </c>
      <c r="Y10" s="23">
        <v>151</v>
      </c>
      <c r="Z10" s="23">
        <v>157</v>
      </c>
      <c r="AA10" s="23">
        <v>171</v>
      </c>
      <c r="AB10" s="13">
        <v>6</v>
      </c>
      <c r="AC10" s="13">
        <v>7</v>
      </c>
      <c r="AD10" s="13">
        <v>8</v>
      </c>
      <c r="AE10" s="13">
        <v>9</v>
      </c>
      <c r="AF10" s="14"/>
      <c r="AG10" s="24"/>
    </row>
    <row r="11" spans="1:34" x14ac:dyDescent="0.55000000000000004">
      <c r="A11" s="19">
        <v>2025</v>
      </c>
      <c r="B11" s="20">
        <v>11</v>
      </c>
      <c r="C11" s="106">
        <v>45989</v>
      </c>
      <c r="D11" s="23" t="s">
        <v>69</v>
      </c>
      <c r="E11" s="23" t="s">
        <v>52</v>
      </c>
      <c r="F11" s="23">
        <v>25.4</v>
      </c>
      <c r="G11" s="23">
        <v>0.186</v>
      </c>
      <c r="H11" s="23">
        <v>20.8</v>
      </c>
      <c r="I11" s="23">
        <v>1.1599999999999999</v>
      </c>
      <c r="J11" s="23">
        <v>58</v>
      </c>
      <c r="K11" s="23">
        <v>144</v>
      </c>
      <c r="L11" s="23">
        <v>23.2</v>
      </c>
      <c r="M11" s="23">
        <v>4</v>
      </c>
      <c r="N11" s="23">
        <v>7</v>
      </c>
      <c r="O11" s="23">
        <v>5</v>
      </c>
      <c r="P11" s="23">
        <v>2</v>
      </c>
      <c r="Q11" s="23">
        <v>44</v>
      </c>
      <c r="R11" s="23">
        <v>130.4</v>
      </c>
      <c r="S11" s="23">
        <v>24.6</v>
      </c>
      <c r="T11" s="23">
        <v>18.5</v>
      </c>
      <c r="U11" s="108">
        <v>511</v>
      </c>
      <c r="V11" s="23">
        <v>0.91</v>
      </c>
      <c r="W11" s="23">
        <v>7.12</v>
      </c>
      <c r="X11" s="23">
        <v>158</v>
      </c>
      <c r="Y11" s="23">
        <v>166</v>
      </c>
      <c r="Z11" s="23">
        <v>171</v>
      </c>
      <c r="AA11" s="23">
        <v>176</v>
      </c>
      <c r="AB11" s="13">
        <v>7</v>
      </c>
      <c r="AC11" s="13">
        <v>8</v>
      </c>
      <c r="AD11" s="13">
        <v>9</v>
      </c>
      <c r="AE11" s="13">
        <v>10</v>
      </c>
      <c r="AF11" s="14"/>
      <c r="AG11" s="24"/>
    </row>
    <row r="12" spans="1:34" x14ac:dyDescent="0.55000000000000004">
      <c r="A12" s="19">
        <v>2025</v>
      </c>
      <c r="B12" s="20">
        <v>12</v>
      </c>
      <c r="C12" s="106">
        <v>46015</v>
      </c>
      <c r="D12" s="23" t="s">
        <v>69</v>
      </c>
      <c r="E12" s="23" t="s">
        <v>52</v>
      </c>
      <c r="F12" s="23">
        <v>28.1</v>
      </c>
      <c r="G12" s="23">
        <v>0.16500000000000001</v>
      </c>
      <c r="H12" s="23">
        <v>20.2</v>
      </c>
      <c r="I12" s="23">
        <v>1.22</v>
      </c>
      <c r="J12" s="23">
        <v>63</v>
      </c>
      <c r="K12" s="23">
        <v>154</v>
      </c>
      <c r="L12" s="23">
        <v>28.2</v>
      </c>
      <c r="M12" s="23">
        <v>4</v>
      </c>
      <c r="N12" s="23">
        <v>6</v>
      </c>
      <c r="O12" s="23">
        <v>6</v>
      </c>
      <c r="P12" s="23">
        <v>6</v>
      </c>
      <c r="Q12" s="23">
        <v>44</v>
      </c>
      <c r="R12" s="23">
        <v>130.9</v>
      </c>
      <c r="S12" s="23">
        <v>24.7</v>
      </c>
      <c r="T12" s="23">
        <v>19</v>
      </c>
      <c r="U12" s="108">
        <v>567</v>
      </c>
      <c r="V12" s="23">
        <v>0.93</v>
      </c>
      <c r="W12" s="23">
        <v>6.7</v>
      </c>
      <c r="X12" s="23">
        <v>176</v>
      </c>
      <c r="Y12" s="23">
        <v>178</v>
      </c>
      <c r="Z12" s="23">
        <v>188</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3830D-D3C9-4EFC-B19A-F8D45624548E}">
  <sheetPr codeName="Sheet2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加藤千空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76</v>
      </c>
      <c r="E9" s="13" t="s">
        <v>65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63</v>
      </c>
      <c r="E10" s="23" t="s">
        <v>65</v>
      </c>
      <c r="F10" s="23">
        <v>26.8</v>
      </c>
      <c r="G10" s="23">
        <v>0.22</v>
      </c>
      <c r="H10" s="23">
        <v>17.100000000000001</v>
      </c>
      <c r="I10" s="23">
        <v>0.78</v>
      </c>
      <c r="J10" s="23">
        <v>55</v>
      </c>
      <c r="K10" s="23">
        <v>159</v>
      </c>
      <c r="L10" s="23">
        <v>22.9</v>
      </c>
      <c r="M10" s="23">
        <v>8</v>
      </c>
      <c r="N10" s="23">
        <v>10</v>
      </c>
      <c r="O10" s="23">
        <v>6</v>
      </c>
      <c r="P10" s="23">
        <v>9</v>
      </c>
      <c r="Q10" s="23">
        <v>43</v>
      </c>
      <c r="R10" s="23">
        <v>143.9</v>
      </c>
      <c r="S10" s="23">
        <v>45</v>
      </c>
      <c r="T10" s="23">
        <v>19.5</v>
      </c>
      <c r="U10" s="108">
        <v>597</v>
      </c>
      <c r="V10" s="23">
        <v>0.93</v>
      </c>
      <c r="W10" s="23">
        <v>7.35</v>
      </c>
      <c r="X10" s="23">
        <v>165</v>
      </c>
      <c r="Y10" s="23">
        <v>171</v>
      </c>
      <c r="Z10" s="23">
        <v>184</v>
      </c>
      <c r="AA10" s="23">
        <v>188</v>
      </c>
      <c r="AB10" s="13">
        <v>7</v>
      </c>
      <c r="AC10" s="13">
        <v>8</v>
      </c>
      <c r="AD10" s="13">
        <v>9</v>
      </c>
      <c r="AE10" s="13">
        <v>10</v>
      </c>
      <c r="AF10" s="14"/>
      <c r="AG10" s="24"/>
    </row>
    <row r="11" spans="1:34" x14ac:dyDescent="0.55000000000000004">
      <c r="A11" s="19">
        <v>2025</v>
      </c>
      <c r="B11" s="20">
        <v>11</v>
      </c>
      <c r="C11" s="106">
        <v>45989</v>
      </c>
      <c r="D11" s="23" t="s">
        <v>80</v>
      </c>
      <c r="E11" s="23" t="s">
        <v>65</v>
      </c>
      <c r="F11" s="23">
        <v>25</v>
      </c>
      <c r="G11" s="23">
        <v>0.216</v>
      </c>
      <c r="H11" s="23">
        <v>16</v>
      </c>
      <c r="I11" s="23">
        <v>0.74</v>
      </c>
      <c r="J11" s="23">
        <v>56</v>
      </c>
      <c r="K11" s="23">
        <v>141</v>
      </c>
      <c r="L11" s="23">
        <v>23.5</v>
      </c>
      <c r="M11" s="23">
        <v>6</v>
      </c>
      <c r="N11" s="23">
        <v>10</v>
      </c>
      <c r="O11" s="23">
        <v>6</v>
      </c>
      <c r="P11" s="23">
        <v>8</v>
      </c>
      <c r="Q11" s="23">
        <v>41</v>
      </c>
      <c r="R11" s="23">
        <v>144.80000000000001</v>
      </c>
      <c r="S11" s="23">
        <v>47.4</v>
      </c>
      <c r="T11" s="23">
        <v>20.9</v>
      </c>
      <c r="U11" s="108">
        <v>580</v>
      </c>
      <c r="V11" s="23">
        <v>0.91</v>
      </c>
      <c r="W11" s="23">
        <v>7.2</v>
      </c>
      <c r="X11" s="23">
        <v>157</v>
      </c>
      <c r="Y11" s="23">
        <v>167</v>
      </c>
      <c r="Z11" s="23">
        <v>173</v>
      </c>
      <c r="AA11" s="23">
        <v>175</v>
      </c>
      <c r="AB11" s="13">
        <v>7</v>
      </c>
      <c r="AC11" s="13">
        <v>8</v>
      </c>
      <c r="AD11" s="13">
        <v>9</v>
      </c>
      <c r="AE11" s="13">
        <v>10</v>
      </c>
      <c r="AF11" s="14"/>
      <c r="AG11" s="24"/>
    </row>
    <row r="12" spans="1:34" x14ac:dyDescent="0.55000000000000004">
      <c r="A12" s="19">
        <v>2025</v>
      </c>
      <c r="B12" s="20">
        <v>12</v>
      </c>
      <c r="C12" s="106">
        <v>46017</v>
      </c>
      <c r="D12" s="23" t="s">
        <v>80</v>
      </c>
      <c r="E12" s="23" t="s">
        <v>65</v>
      </c>
      <c r="F12" s="23">
        <v>26.2</v>
      </c>
      <c r="G12" s="23">
        <v>0.217</v>
      </c>
      <c r="H12" s="23">
        <v>14.5</v>
      </c>
      <c r="I12" s="23">
        <v>0.67</v>
      </c>
      <c r="J12" s="23">
        <v>51</v>
      </c>
      <c r="K12" s="23">
        <v>141</v>
      </c>
      <c r="L12" s="23">
        <v>24.9</v>
      </c>
      <c r="M12" s="23">
        <v>7</v>
      </c>
      <c r="N12" s="23">
        <v>10</v>
      </c>
      <c r="O12" s="23">
        <v>7</v>
      </c>
      <c r="P12" s="23">
        <v>9</v>
      </c>
      <c r="Q12" s="23">
        <v>39</v>
      </c>
      <c r="R12" s="23">
        <v>144.9</v>
      </c>
      <c r="S12" s="23">
        <v>48.4</v>
      </c>
      <c r="T12" s="23">
        <v>21.2</v>
      </c>
      <c r="U12" s="108">
        <v>609</v>
      </c>
      <c r="V12" s="23">
        <v>0.92</v>
      </c>
      <c r="W12" s="23">
        <v>7.21</v>
      </c>
      <c r="X12" s="23">
        <v>154</v>
      </c>
      <c r="Y12" s="23">
        <v>158</v>
      </c>
      <c r="Z12" s="23">
        <v>162</v>
      </c>
      <c r="AA12" s="23">
        <v>165</v>
      </c>
      <c r="AB12" s="13">
        <v>7</v>
      </c>
      <c r="AC12" s="13">
        <v>8</v>
      </c>
      <c r="AD12" s="13">
        <v>9</v>
      </c>
      <c r="AE12" s="13">
        <v>10</v>
      </c>
      <c r="AF12" s="14"/>
      <c r="AG12" s="24"/>
    </row>
    <row r="13" spans="1:34" x14ac:dyDescent="0.55000000000000004">
      <c r="A13" s="19">
        <v>2025</v>
      </c>
      <c r="B13" s="20">
        <v>1</v>
      </c>
      <c r="C13" s="106">
        <v>46052</v>
      </c>
      <c r="D13" s="23" t="s">
        <v>80</v>
      </c>
      <c r="E13" s="23" t="s">
        <v>65</v>
      </c>
      <c r="F13" s="23">
        <v>25.6</v>
      </c>
      <c r="G13" s="23">
        <v>0.19800000000000001</v>
      </c>
      <c r="H13" s="23">
        <v>15.5</v>
      </c>
      <c r="I13" s="23">
        <v>0.78</v>
      </c>
      <c r="J13" s="23">
        <v>57</v>
      </c>
      <c r="K13" s="23">
        <v>153</v>
      </c>
      <c r="L13" s="23">
        <v>24.1</v>
      </c>
      <c r="M13" s="23">
        <v>7</v>
      </c>
      <c r="N13" s="23">
        <v>9</v>
      </c>
      <c r="O13" s="23">
        <v>7</v>
      </c>
      <c r="P13" s="23">
        <v>9</v>
      </c>
      <c r="Q13" s="23">
        <v>41</v>
      </c>
      <c r="R13" s="23">
        <v>145.1</v>
      </c>
      <c r="S13" s="23">
        <v>48.5</v>
      </c>
      <c r="T13" s="23">
        <v>21.4</v>
      </c>
      <c r="U13" s="108">
        <v>590</v>
      </c>
      <c r="V13" s="23">
        <v>0.91</v>
      </c>
      <c r="W13" s="23">
        <v>6.95</v>
      </c>
      <c r="X13" s="23">
        <v>149</v>
      </c>
      <c r="Y13" s="23">
        <v>147</v>
      </c>
      <c r="Z13" s="23">
        <v>169</v>
      </c>
      <c r="AA13" s="23">
        <v>174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324C1-7146-499A-9D17-C201DE43DA20}">
  <sheetPr codeName="Sheet6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51</v>
      </c>
      <c r="E9" s="13" t="s">
        <v>52</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59</v>
      </c>
      <c r="E10" s="23" t="s">
        <v>52</v>
      </c>
      <c r="F10" s="23">
        <v>26.1</v>
      </c>
      <c r="G10" s="23">
        <v>0.23300000000000001</v>
      </c>
      <c r="H10" s="23">
        <v>14.4</v>
      </c>
      <c r="I10" s="23">
        <v>0.62</v>
      </c>
      <c r="J10" s="23">
        <v>42</v>
      </c>
      <c r="K10" s="23">
        <v>133</v>
      </c>
      <c r="L10" s="23">
        <v>21.5</v>
      </c>
      <c r="M10" s="23">
        <v>8</v>
      </c>
      <c r="N10" s="23">
        <v>10</v>
      </c>
      <c r="O10" s="23">
        <v>7</v>
      </c>
      <c r="P10" s="23">
        <v>4</v>
      </c>
      <c r="Q10" s="23">
        <v>45</v>
      </c>
      <c r="R10" s="23">
        <v>130.30000000000001</v>
      </c>
      <c r="S10" s="23">
        <v>23.7</v>
      </c>
      <c r="T10" s="23">
        <v>16</v>
      </c>
      <c r="U10" s="108">
        <v>347</v>
      </c>
      <c r="V10" s="23">
        <v>0.86</v>
      </c>
      <c r="W10" s="23">
        <v>7.47</v>
      </c>
      <c r="X10" s="23">
        <v>124</v>
      </c>
      <c r="Y10" s="23">
        <v>163</v>
      </c>
      <c r="Z10" s="23">
        <v>187</v>
      </c>
      <c r="AA10" s="23">
        <v>190</v>
      </c>
      <c r="AB10" s="13">
        <v>5</v>
      </c>
      <c r="AC10" s="13">
        <v>6</v>
      </c>
      <c r="AD10" s="13">
        <v>7</v>
      </c>
      <c r="AE10" s="13">
        <v>8</v>
      </c>
      <c r="AF10" s="14"/>
      <c r="AG10" s="24"/>
    </row>
    <row r="11" spans="1:34" x14ac:dyDescent="0.55000000000000004">
      <c r="A11" s="19">
        <v>2025</v>
      </c>
      <c r="B11" s="20">
        <v>11</v>
      </c>
      <c r="C11" s="106">
        <v>45989</v>
      </c>
      <c r="D11" s="23" t="s">
        <v>59</v>
      </c>
      <c r="E11" s="23" t="s">
        <v>52</v>
      </c>
      <c r="F11" s="23">
        <v>24.1</v>
      </c>
      <c r="G11" s="23">
        <v>0.23499999999999999</v>
      </c>
      <c r="H11" s="23">
        <v>13.9</v>
      </c>
      <c r="I11" s="23">
        <v>0.59</v>
      </c>
      <c r="J11" s="23">
        <v>43</v>
      </c>
      <c r="K11" s="23">
        <v>158</v>
      </c>
      <c r="L11" s="23">
        <v>22.6</v>
      </c>
      <c r="M11" s="23">
        <v>9</v>
      </c>
      <c r="N11" s="23">
        <v>10</v>
      </c>
      <c r="O11" s="23">
        <v>6</v>
      </c>
      <c r="P11" s="23">
        <v>4</v>
      </c>
      <c r="Q11" s="23">
        <v>43</v>
      </c>
      <c r="R11" s="23">
        <v>129.80000000000001</v>
      </c>
      <c r="S11" s="23">
        <v>26.5</v>
      </c>
      <c r="T11" s="23">
        <v>15.3</v>
      </c>
      <c r="U11" s="108">
        <v>590</v>
      </c>
      <c r="V11" s="23">
        <v>0.97</v>
      </c>
      <c r="W11" s="23">
        <v>7.38</v>
      </c>
      <c r="X11" s="23">
        <v>156</v>
      </c>
      <c r="Y11" s="23">
        <v>169</v>
      </c>
      <c r="Z11" s="23">
        <v>182</v>
      </c>
      <c r="AA11" s="23">
        <v>187</v>
      </c>
      <c r="AB11" s="13">
        <v>7</v>
      </c>
      <c r="AC11" s="13">
        <v>8</v>
      </c>
      <c r="AD11" s="13">
        <v>9</v>
      </c>
      <c r="AE11" s="13">
        <v>10</v>
      </c>
      <c r="AF11" s="14"/>
      <c r="AG11" s="24"/>
    </row>
    <row r="12" spans="1:34" x14ac:dyDescent="0.55000000000000004">
      <c r="A12" s="19">
        <v>2025</v>
      </c>
      <c r="B12" s="20">
        <v>12</v>
      </c>
      <c r="C12" s="106">
        <v>46017</v>
      </c>
      <c r="D12" s="23" t="s">
        <v>59</v>
      </c>
      <c r="E12" s="23" t="s">
        <v>52</v>
      </c>
      <c r="F12" s="23">
        <v>21.2</v>
      </c>
      <c r="G12" s="23">
        <v>0.22700000000000001</v>
      </c>
      <c r="H12" s="23">
        <v>13.3</v>
      </c>
      <c r="I12" s="23">
        <v>0.57999999999999996</v>
      </c>
      <c r="J12" s="23">
        <v>41</v>
      </c>
      <c r="K12" s="23">
        <v>145</v>
      </c>
      <c r="L12" s="23">
        <v>22.9</v>
      </c>
      <c r="M12" s="23">
        <v>7</v>
      </c>
      <c r="N12" s="23">
        <v>6</v>
      </c>
      <c r="O12" s="23">
        <v>8</v>
      </c>
      <c r="P12" s="23">
        <v>6</v>
      </c>
      <c r="Q12" s="23">
        <v>5</v>
      </c>
      <c r="R12" s="23">
        <v>130.9</v>
      </c>
      <c r="S12" s="23">
        <v>26.6</v>
      </c>
      <c r="T12" s="23">
        <v>14.5</v>
      </c>
      <c r="U12" s="108">
        <v>575</v>
      </c>
      <c r="V12" s="23">
        <v>0.97</v>
      </c>
      <c r="W12" s="23">
        <v>8</v>
      </c>
      <c r="X12" s="23">
        <v>130</v>
      </c>
      <c r="Y12" s="23">
        <v>139</v>
      </c>
      <c r="Z12" s="23">
        <v>161</v>
      </c>
      <c r="AA12" s="23">
        <v>182</v>
      </c>
      <c r="AB12" s="13">
        <v>5</v>
      </c>
      <c r="AC12" s="13">
        <v>6</v>
      </c>
      <c r="AD12" s="13">
        <v>7</v>
      </c>
      <c r="AE12" s="13">
        <v>8</v>
      </c>
      <c r="AF12" s="14"/>
      <c r="AG12" s="24"/>
    </row>
    <row r="13" spans="1:34" x14ac:dyDescent="0.55000000000000004">
      <c r="A13" s="19">
        <v>2025</v>
      </c>
      <c r="B13" s="20">
        <v>1</v>
      </c>
      <c r="C13" s="106">
        <v>46052</v>
      </c>
      <c r="D13" s="23" t="s">
        <v>59</v>
      </c>
      <c r="E13" s="23" t="s">
        <v>52</v>
      </c>
      <c r="F13" s="23">
        <v>23.4</v>
      </c>
      <c r="G13" s="23">
        <v>0.35799999999999998</v>
      </c>
      <c r="H13" s="23">
        <v>18.7</v>
      </c>
      <c r="I13" s="23">
        <v>0.52</v>
      </c>
      <c r="J13" s="23">
        <v>44</v>
      </c>
      <c r="K13" s="23">
        <v>136</v>
      </c>
      <c r="L13" s="23">
        <v>24.3</v>
      </c>
      <c r="M13" s="23">
        <v>8</v>
      </c>
      <c r="N13" s="23">
        <v>10</v>
      </c>
      <c r="O13" s="23">
        <v>5</v>
      </c>
      <c r="P13" s="23">
        <v>5</v>
      </c>
      <c r="Q13" s="23">
        <v>47</v>
      </c>
      <c r="R13" s="23">
        <v>131.5</v>
      </c>
      <c r="S13" s="23">
        <v>26.4</v>
      </c>
      <c r="T13" s="23">
        <v>15.3</v>
      </c>
      <c r="U13" s="108">
        <v>474</v>
      </c>
      <c r="V13" s="23">
        <v>0.92</v>
      </c>
      <c r="W13" s="23">
        <v>7.51</v>
      </c>
      <c r="X13" s="23">
        <v>117</v>
      </c>
      <c r="Y13" s="23">
        <v>119</v>
      </c>
      <c r="Z13" s="23">
        <v>151</v>
      </c>
      <c r="AA13" s="23">
        <v>163</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8FFAC-0F62-4CCA-8E0E-01530E310810}">
  <sheetPr codeName="Sheet7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石川基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45916</v>
      </c>
      <c r="D9" s="13" t="s">
        <v>51</v>
      </c>
      <c r="E9" s="13" t="s">
        <v>52</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59</v>
      </c>
      <c r="E10" s="23" t="s">
        <v>52</v>
      </c>
      <c r="F10" s="23">
        <v>28.6</v>
      </c>
      <c r="G10" s="23">
        <v>0.22500000000000001</v>
      </c>
      <c r="H10" s="23">
        <v>22.8</v>
      </c>
      <c r="I10" s="23">
        <v>1.01</v>
      </c>
      <c r="J10" s="23">
        <v>56</v>
      </c>
      <c r="K10" s="23">
        <v>170</v>
      </c>
      <c r="L10" s="23">
        <v>28.4</v>
      </c>
      <c r="M10" s="23">
        <v>8</v>
      </c>
      <c r="N10" s="23">
        <v>8</v>
      </c>
      <c r="O10" s="23">
        <v>4</v>
      </c>
      <c r="P10" s="23">
        <v>8</v>
      </c>
      <c r="Q10" s="23">
        <v>43</v>
      </c>
      <c r="R10" s="23">
        <v>153.30000000000001</v>
      </c>
      <c r="S10" s="23">
        <v>37.700000000000003</v>
      </c>
      <c r="T10" s="23">
        <v>19.3</v>
      </c>
      <c r="U10" s="108">
        <v>479</v>
      </c>
      <c r="V10" s="23">
        <v>0.89</v>
      </c>
      <c r="W10" s="23">
        <v>6.49</v>
      </c>
      <c r="X10" s="23">
        <v>164</v>
      </c>
      <c r="Y10" s="23">
        <v>169</v>
      </c>
      <c r="Z10" s="23">
        <v>176</v>
      </c>
      <c r="AA10" s="23">
        <v>180</v>
      </c>
      <c r="AB10" s="13">
        <v>9</v>
      </c>
      <c r="AC10" s="13">
        <v>10</v>
      </c>
      <c r="AD10" s="13">
        <v>11</v>
      </c>
      <c r="AE10" s="13">
        <v>12</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59</v>
      </c>
      <c r="E12" s="23" t="s">
        <v>52</v>
      </c>
      <c r="F12" s="23">
        <v>30.3</v>
      </c>
      <c r="G12" s="23">
        <v>0.215</v>
      </c>
      <c r="H12" s="23">
        <v>23.7</v>
      </c>
      <c r="I12" s="23">
        <v>1.1000000000000001</v>
      </c>
      <c r="J12" s="23">
        <v>57</v>
      </c>
      <c r="K12" s="23">
        <v>177</v>
      </c>
      <c r="L12" s="23">
        <v>29.9</v>
      </c>
      <c r="M12" s="23">
        <v>5</v>
      </c>
      <c r="N12" s="23">
        <v>8</v>
      </c>
      <c r="O12" s="23">
        <v>5</v>
      </c>
      <c r="P12" s="23">
        <v>8</v>
      </c>
      <c r="Q12" s="23">
        <v>44</v>
      </c>
      <c r="R12" s="23">
        <v>154.9</v>
      </c>
      <c r="S12" s="23">
        <v>38.4</v>
      </c>
      <c r="T12" s="23">
        <v>19.5</v>
      </c>
      <c r="U12" s="108">
        <v>530</v>
      </c>
      <c r="V12" s="23">
        <v>0.91</v>
      </c>
      <c r="W12" s="23">
        <v>6.6</v>
      </c>
      <c r="X12" s="23">
        <v>157</v>
      </c>
      <c r="Y12" s="23">
        <v>164</v>
      </c>
      <c r="Z12" s="23">
        <v>169</v>
      </c>
      <c r="AA12" s="23">
        <v>179</v>
      </c>
      <c r="AB12" s="13">
        <v>8</v>
      </c>
      <c r="AC12" s="13">
        <v>9</v>
      </c>
      <c r="AD12" s="13">
        <v>10</v>
      </c>
      <c r="AE12" s="13">
        <v>11</v>
      </c>
      <c r="AF12" s="14"/>
      <c r="AG12" s="24"/>
    </row>
    <row r="13" spans="1:34" x14ac:dyDescent="0.55000000000000004">
      <c r="A13" s="19">
        <v>2025</v>
      </c>
      <c r="B13" s="20">
        <v>1</v>
      </c>
      <c r="C13" s="106">
        <v>46049</v>
      </c>
      <c r="D13" s="23" t="s">
        <v>59</v>
      </c>
      <c r="E13" s="23" t="s">
        <v>52</v>
      </c>
      <c r="F13" s="23">
        <v>30.6</v>
      </c>
      <c r="G13" s="23">
        <v>0.17299999999999999</v>
      </c>
      <c r="H13" s="23">
        <v>23.2</v>
      </c>
      <c r="I13" s="23">
        <v>1.34</v>
      </c>
      <c r="J13" s="23">
        <v>52</v>
      </c>
      <c r="K13" s="23">
        <v>174</v>
      </c>
      <c r="L13" s="23">
        <v>29.9</v>
      </c>
      <c r="M13" s="23">
        <v>8</v>
      </c>
      <c r="N13" s="23">
        <v>10</v>
      </c>
      <c r="O13" s="23">
        <v>2</v>
      </c>
      <c r="P13" s="23">
        <v>9</v>
      </c>
      <c r="Q13" s="23">
        <v>40</v>
      </c>
      <c r="R13" s="23">
        <v>156</v>
      </c>
      <c r="S13" s="23">
        <v>40.200000000000003</v>
      </c>
      <c r="T13" s="23">
        <v>20.100000000000001</v>
      </c>
      <c r="U13" s="108">
        <v>588</v>
      </c>
      <c r="V13" s="23">
        <v>0.93</v>
      </c>
      <c r="W13" s="23">
        <v>6.84</v>
      </c>
      <c r="X13" s="23">
        <v>113</v>
      </c>
      <c r="Y13" s="23">
        <v>155</v>
      </c>
      <c r="Z13" s="23">
        <v>163</v>
      </c>
      <c r="AA13" s="23">
        <v>165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9C5DF-1CFE-40F8-A3A1-34FA4C998795}">
  <sheetPr codeName="Sheet24">
    <tabColor rgb="FFFF0000"/>
    <pageSetUpPr fitToPage="1"/>
  </sheetPr>
  <dimension ref="A1:AH44"/>
  <sheetViews>
    <sheetView topLeftCell="A6" zoomScale="91" zoomScaleNormal="91"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須田ほたる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45917</v>
      </c>
      <c r="D9" s="13" t="s">
        <v>61</v>
      </c>
      <c r="E9" s="13" t="s">
        <v>65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63</v>
      </c>
      <c r="E12" s="23" t="s">
        <v>65</v>
      </c>
      <c r="F12" s="23">
        <v>27.3</v>
      </c>
      <c r="G12" s="23">
        <v>0.17899999999999999</v>
      </c>
      <c r="H12" s="23">
        <v>25.4</v>
      </c>
      <c r="I12" s="23">
        <v>1.42</v>
      </c>
      <c r="J12" s="23">
        <v>48</v>
      </c>
      <c r="K12" s="23">
        <v>182</v>
      </c>
      <c r="L12" s="23">
        <v>26.6</v>
      </c>
      <c r="M12" s="23">
        <v>7</v>
      </c>
      <c r="N12" s="23">
        <v>10</v>
      </c>
      <c r="O12" s="23">
        <v>5</v>
      </c>
      <c r="P12" s="23">
        <v>7</v>
      </c>
      <c r="Q12" s="23">
        <v>43</v>
      </c>
      <c r="R12" s="23">
        <v>163.9</v>
      </c>
      <c r="S12" s="23">
        <v>42.1</v>
      </c>
      <c r="T12" s="23">
        <v>23</v>
      </c>
      <c r="U12" s="108">
        <v>343</v>
      </c>
      <c r="V12" s="23">
        <v>0.79</v>
      </c>
      <c r="W12" s="23">
        <v>6.93</v>
      </c>
      <c r="X12" s="23">
        <v>143</v>
      </c>
      <c r="Y12" s="23">
        <v>178</v>
      </c>
      <c r="Z12" s="23">
        <v>188</v>
      </c>
      <c r="AA12" s="23">
        <v>190</v>
      </c>
      <c r="AB12" s="13">
        <v>8</v>
      </c>
      <c r="AC12" s="13">
        <v>9</v>
      </c>
      <c r="AD12" s="13">
        <v>10</v>
      </c>
      <c r="AE12" s="13">
        <v>11</v>
      </c>
      <c r="AF12" s="14"/>
      <c r="AG12" s="24"/>
    </row>
    <row r="13" spans="1:34" x14ac:dyDescent="0.55000000000000004">
      <c r="A13" s="19">
        <v>2025</v>
      </c>
      <c r="B13" s="20">
        <v>1</v>
      </c>
      <c r="C13" s="106">
        <v>46050</v>
      </c>
      <c r="D13" s="23" t="s">
        <v>63</v>
      </c>
      <c r="E13" s="23" t="s">
        <v>65</v>
      </c>
      <c r="F13" s="23">
        <v>27.9</v>
      </c>
      <c r="G13" s="23">
        <v>0.16800000000000001</v>
      </c>
      <c r="H13" s="23">
        <v>24.4</v>
      </c>
      <c r="I13" s="23">
        <v>1.45</v>
      </c>
      <c r="J13" s="23">
        <v>59</v>
      </c>
      <c r="K13" s="23">
        <v>183</v>
      </c>
      <c r="L13" s="23">
        <v>27.5</v>
      </c>
      <c r="M13" s="23">
        <v>6</v>
      </c>
      <c r="N13" s="23">
        <v>10</v>
      </c>
      <c r="O13" s="23">
        <v>7</v>
      </c>
      <c r="P13" s="23">
        <v>8</v>
      </c>
      <c r="Q13" s="23">
        <v>40</v>
      </c>
      <c r="R13" s="23">
        <v>163.80000000000001</v>
      </c>
      <c r="S13" s="23">
        <v>42.6</v>
      </c>
      <c r="T13" s="23">
        <v>22.1</v>
      </c>
      <c r="U13" s="108">
        <v>651</v>
      </c>
      <c r="V13" s="23">
        <v>0.93</v>
      </c>
      <c r="W13" s="23">
        <v>7.3</v>
      </c>
      <c r="X13" s="23">
        <v>144</v>
      </c>
      <c r="Y13" s="23">
        <v>156</v>
      </c>
      <c r="Z13" s="23">
        <v>182</v>
      </c>
      <c r="AA13" s="23">
        <v>187</v>
      </c>
      <c r="AB13" s="13">
        <v>8</v>
      </c>
      <c r="AC13" s="13">
        <v>9</v>
      </c>
      <c r="AD13" s="13">
        <v>10</v>
      </c>
      <c r="AE13" s="13">
        <v>11</v>
      </c>
      <c r="AF13" s="14" t="s">
        <v>425</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4"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3FBF-8091-4F0E-92FB-9BC69DC18010}">
  <sheetPr codeName="Sheet2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大貫那緒</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45918</v>
      </c>
      <c r="D9" s="13" t="s">
        <v>76</v>
      </c>
      <c r="E9" s="13" t="s">
        <v>65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63</v>
      </c>
      <c r="E10" s="23" t="s">
        <v>65</v>
      </c>
      <c r="F10" s="23">
        <v>30.3</v>
      </c>
      <c r="G10" s="23">
        <v>0.187</v>
      </c>
      <c r="H10" s="23">
        <v>29.8</v>
      </c>
      <c r="I10" s="23">
        <v>1.59</v>
      </c>
      <c r="J10" s="23">
        <v>44</v>
      </c>
      <c r="K10" s="23">
        <v>186</v>
      </c>
      <c r="L10" s="23">
        <v>29.6</v>
      </c>
      <c r="M10" s="23">
        <v>5</v>
      </c>
      <c r="N10" s="23">
        <v>10</v>
      </c>
      <c r="O10" s="23">
        <v>7</v>
      </c>
      <c r="P10" s="23">
        <v>8</v>
      </c>
      <c r="Q10" s="23">
        <v>57</v>
      </c>
      <c r="R10" s="23">
        <v>151.1</v>
      </c>
      <c r="S10" s="23">
        <v>47.5</v>
      </c>
      <c r="T10" s="23">
        <v>22.9</v>
      </c>
      <c r="U10" s="108">
        <v>597</v>
      </c>
      <c r="V10" s="23">
        <v>0.9</v>
      </c>
      <c r="W10" s="23">
        <v>6.37</v>
      </c>
      <c r="X10" s="23">
        <v>164</v>
      </c>
      <c r="Y10" s="23">
        <v>174</v>
      </c>
      <c r="Z10" s="23">
        <v>176</v>
      </c>
      <c r="AA10" s="23">
        <v>183</v>
      </c>
      <c r="AB10" s="13">
        <v>9</v>
      </c>
      <c r="AC10" s="13">
        <v>10</v>
      </c>
      <c r="AD10" s="13">
        <v>11</v>
      </c>
      <c r="AE10" s="13">
        <v>12</v>
      </c>
      <c r="AF10" s="14"/>
      <c r="AG10" s="24"/>
    </row>
    <row r="11" spans="1:34" x14ac:dyDescent="0.55000000000000004">
      <c r="A11" s="19">
        <v>2025</v>
      </c>
      <c r="B11" s="20">
        <v>11</v>
      </c>
      <c r="C11" s="106">
        <v>45988</v>
      </c>
      <c r="D11" s="23" t="s">
        <v>80</v>
      </c>
      <c r="E11" s="23" t="s">
        <v>65</v>
      </c>
      <c r="F11" s="23">
        <v>31.3</v>
      </c>
      <c r="G11" s="23">
        <v>0.19400000000000001</v>
      </c>
      <c r="H11" s="23">
        <v>29.4</v>
      </c>
      <c r="I11" s="23">
        <v>1.52</v>
      </c>
      <c r="J11" s="23">
        <v>55</v>
      </c>
      <c r="K11" s="23">
        <v>191</v>
      </c>
      <c r="L11" s="23">
        <v>31.1</v>
      </c>
      <c r="M11" s="23">
        <v>5</v>
      </c>
      <c r="N11" s="23">
        <v>9</v>
      </c>
      <c r="O11" s="23">
        <v>6</v>
      </c>
      <c r="P11" s="23">
        <v>9</v>
      </c>
      <c r="Q11" s="23">
        <v>41</v>
      </c>
      <c r="R11" s="23">
        <v>151.19999999999999</v>
      </c>
      <c r="S11" s="23">
        <v>47.9</v>
      </c>
      <c r="T11" s="23">
        <v>22.7</v>
      </c>
      <c r="U11" s="108">
        <v>593</v>
      </c>
      <c r="V11" s="23">
        <v>0.9</v>
      </c>
      <c r="W11" s="23">
        <v>6.54</v>
      </c>
      <c r="X11" s="23">
        <v>168</v>
      </c>
      <c r="Y11" s="23">
        <v>176</v>
      </c>
      <c r="Z11" s="23">
        <v>181</v>
      </c>
      <c r="AA11" s="23">
        <v>182</v>
      </c>
      <c r="AB11" s="13">
        <v>8</v>
      </c>
      <c r="AC11" s="13">
        <v>9</v>
      </c>
      <c r="AD11" s="13">
        <v>10</v>
      </c>
      <c r="AE11" s="13">
        <v>11</v>
      </c>
      <c r="AF11" s="14"/>
      <c r="AG11" s="24"/>
    </row>
    <row r="12" spans="1:34" x14ac:dyDescent="0.55000000000000004">
      <c r="A12" s="19">
        <v>2025</v>
      </c>
      <c r="B12" s="20">
        <v>12</v>
      </c>
      <c r="C12" s="106">
        <v>46016</v>
      </c>
      <c r="D12" s="23" t="s">
        <v>80</v>
      </c>
      <c r="E12" s="23" t="s">
        <v>65</v>
      </c>
      <c r="F12" s="23">
        <v>30.5</v>
      </c>
      <c r="G12" s="23">
        <v>0.17799999999999999</v>
      </c>
      <c r="H12" s="23">
        <v>32.4</v>
      </c>
      <c r="I12" s="23">
        <v>1.82</v>
      </c>
      <c r="J12" s="23">
        <v>44</v>
      </c>
      <c r="K12" s="23">
        <v>194</v>
      </c>
      <c r="L12" s="23">
        <v>31.4</v>
      </c>
      <c r="M12" s="23">
        <v>5</v>
      </c>
      <c r="N12" s="23">
        <v>10</v>
      </c>
      <c r="O12" s="23">
        <v>7</v>
      </c>
      <c r="P12" s="23">
        <v>9</v>
      </c>
      <c r="Q12" s="23">
        <v>40</v>
      </c>
      <c r="R12" s="23">
        <v>151.4</v>
      </c>
      <c r="S12" s="23">
        <v>48.5</v>
      </c>
      <c r="T12" s="23">
        <v>24.3</v>
      </c>
      <c r="U12" s="108">
        <v>580</v>
      </c>
      <c r="V12" s="23">
        <v>0.88</v>
      </c>
      <c r="W12" s="23">
        <v>6.21</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14440-AB3F-4A04-B9CA-B9085D78F4A0}">
  <sheetPr codeName="Sheet2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手塚みお</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45922</v>
      </c>
      <c r="D9" s="13" t="s">
        <v>61</v>
      </c>
      <c r="E9" s="13" t="s">
        <v>65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59</v>
      </c>
      <c r="E10" s="23" t="s">
        <v>65</v>
      </c>
      <c r="F10" s="23">
        <v>23.6</v>
      </c>
      <c r="G10" s="23">
        <v>0.182</v>
      </c>
      <c r="H10" s="23">
        <v>19.2</v>
      </c>
      <c r="I10" s="23">
        <v>1.06</v>
      </c>
      <c r="J10" s="23">
        <v>65</v>
      </c>
      <c r="K10" s="23">
        <v>160</v>
      </c>
      <c r="L10" s="23">
        <v>20.9</v>
      </c>
      <c r="M10" s="23">
        <v>4</v>
      </c>
      <c r="N10" s="23">
        <v>10</v>
      </c>
      <c r="O10" s="23">
        <v>9</v>
      </c>
      <c r="P10" s="23">
        <v>6</v>
      </c>
      <c r="Q10" s="23">
        <v>47</v>
      </c>
      <c r="R10" s="23">
        <v>136.6</v>
      </c>
      <c r="S10" s="23">
        <v>31</v>
      </c>
      <c r="T10" s="23">
        <v>19.2</v>
      </c>
      <c r="U10" s="108">
        <v>498</v>
      </c>
      <c r="V10" s="23">
        <v>0.89</v>
      </c>
      <c r="W10" s="23">
        <v>6.83</v>
      </c>
      <c r="X10" s="23">
        <v>192</v>
      </c>
      <c r="Y10" s="23">
        <v>198</v>
      </c>
      <c r="Z10" s="23">
        <v>203</v>
      </c>
      <c r="AA10" s="23">
        <v>204</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59</v>
      </c>
      <c r="E12" s="23" t="s">
        <v>65</v>
      </c>
      <c r="F12" s="23">
        <v>25.4</v>
      </c>
      <c r="G12" s="23">
        <v>0.214</v>
      </c>
      <c r="H12" s="23">
        <v>19.2</v>
      </c>
      <c r="I12" s="23">
        <v>0.9</v>
      </c>
      <c r="J12" s="23">
        <v>58</v>
      </c>
      <c r="K12" s="23">
        <v>168</v>
      </c>
      <c r="L12" s="23">
        <v>25.8</v>
      </c>
      <c r="M12" s="23">
        <v>6</v>
      </c>
      <c r="N12" s="23">
        <v>9</v>
      </c>
      <c r="O12" s="23">
        <v>7</v>
      </c>
      <c r="P12" s="23">
        <v>9</v>
      </c>
      <c r="Q12" s="23">
        <v>43</v>
      </c>
      <c r="R12" s="23">
        <v>137.80000000000001</v>
      </c>
      <c r="S12" s="23">
        <v>33.200000000000003</v>
      </c>
      <c r="T12" s="23">
        <v>19.399999999999999</v>
      </c>
      <c r="U12" s="108">
        <v>525</v>
      </c>
      <c r="V12" s="23">
        <v>0.9</v>
      </c>
      <c r="W12" s="23">
        <v>6.53</v>
      </c>
      <c r="X12" s="23">
        <v>186</v>
      </c>
      <c r="Y12" s="23">
        <v>196</v>
      </c>
      <c r="Z12" s="23">
        <v>203</v>
      </c>
      <c r="AA12" s="23">
        <v>207</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B5FC-D803-4E84-B8B3-6CA077E204DF}">
  <sheetPr codeName="Sheet2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堀田雄聖</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72</v>
      </c>
      <c r="E10" s="23" t="s">
        <v>52</v>
      </c>
      <c r="F10" s="23">
        <v>17.5</v>
      </c>
      <c r="G10" s="23">
        <v>0.17100000000000001</v>
      </c>
      <c r="H10" s="23">
        <v>15.4</v>
      </c>
      <c r="I10" s="23">
        <v>0.9</v>
      </c>
      <c r="J10" s="23">
        <v>43</v>
      </c>
      <c r="K10" s="23">
        <v>127</v>
      </c>
      <c r="L10" s="23">
        <v>18.100000000000001</v>
      </c>
      <c r="M10" s="23">
        <v>5</v>
      </c>
      <c r="N10" s="23">
        <v>10</v>
      </c>
      <c r="O10" s="23">
        <v>4</v>
      </c>
      <c r="P10" s="23">
        <v>6</v>
      </c>
      <c r="Q10" s="23">
        <v>47</v>
      </c>
      <c r="R10" s="23">
        <v>139.19999999999999</v>
      </c>
      <c r="S10" s="23">
        <v>33.4</v>
      </c>
      <c r="T10" s="23">
        <v>17.8</v>
      </c>
      <c r="U10" s="108">
        <v>521</v>
      </c>
      <c r="V10" s="23">
        <v>0.92</v>
      </c>
      <c r="W10" s="23">
        <v>7.45</v>
      </c>
      <c r="X10" s="23">
        <v>152</v>
      </c>
      <c r="Y10" s="23">
        <v>167</v>
      </c>
      <c r="Z10" s="23">
        <v>172</v>
      </c>
      <c r="AA10" s="23">
        <v>179</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72</v>
      </c>
      <c r="E12" s="23" t="s">
        <v>52</v>
      </c>
      <c r="F12" s="23">
        <v>21.9</v>
      </c>
      <c r="G12" s="23">
        <v>0.188</v>
      </c>
      <c r="H12" s="23">
        <v>14.6</v>
      </c>
      <c r="I12" s="23">
        <v>0.81</v>
      </c>
      <c r="J12" s="23">
        <v>47</v>
      </c>
      <c r="K12" s="23">
        <v>136</v>
      </c>
      <c r="L12" s="23">
        <v>20.6</v>
      </c>
      <c r="M12" s="23">
        <v>6</v>
      </c>
      <c r="N12" s="23">
        <v>8</v>
      </c>
      <c r="O12" s="23">
        <v>5</v>
      </c>
      <c r="P12" s="23">
        <v>7</v>
      </c>
      <c r="Q12" s="23">
        <v>46</v>
      </c>
      <c r="R12" s="23">
        <v>140.6</v>
      </c>
      <c r="S12" s="23">
        <v>36.5</v>
      </c>
      <c r="T12" s="23">
        <v>18.5</v>
      </c>
      <c r="U12" s="108">
        <v>441</v>
      </c>
      <c r="V12" s="23">
        <v>0.88</v>
      </c>
      <c r="W12" s="23">
        <v>7.24</v>
      </c>
      <c r="X12" s="23">
        <v>158</v>
      </c>
      <c r="Y12" s="23">
        <v>174</v>
      </c>
      <c r="Z12" s="23">
        <v>182</v>
      </c>
      <c r="AA12" s="23">
        <v>187</v>
      </c>
      <c r="AB12" s="13">
        <v>7</v>
      </c>
      <c r="AC12" s="13">
        <v>8</v>
      </c>
      <c r="AD12" s="13">
        <v>9</v>
      </c>
      <c r="AE12" s="13">
        <v>10</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C65D4-5142-43B7-B3A1-F4F6D76F1243}">
  <sheetPr codeName="Sheet2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大出隆佑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51</v>
      </c>
      <c r="E9" s="13" t="s">
        <v>52</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59</v>
      </c>
      <c r="E10" s="23" t="s">
        <v>52</v>
      </c>
      <c r="F10" s="23">
        <v>25.3</v>
      </c>
      <c r="G10" s="23">
        <v>0.218</v>
      </c>
      <c r="H10" s="23">
        <v>19.7</v>
      </c>
      <c r="I10" s="23">
        <v>0.9</v>
      </c>
      <c r="J10" s="23">
        <v>47</v>
      </c>
      <c r="K10" s="23">
        <v>157</v>
      </c>
      <c r="L10" s="23">
        <v>22.9</v>
      </c>
      <c r="M10" s="23">
        <v>5</v>
      </c>
      <c r="N10" s="23">
        <v>9</v>
      </c>
      <c r="O10" s="23">
        <v>5</v>
      </c>
      <c r="P10" s="23">
        <v>4</v>
      </c>
      <c r="Q10" s="23">
        <v>49</v>
      </c>
      <c r="R10" s="23">
        <v>144.4</v>
      </c>
      <c r="S10" s="23">
        <v>34.6</v>
      </c>
      <c r="T10" s="23">
        <v>19.399999999999999</v>
      </c>
      <c r="U10" s="108">
        <v>458</v>
      </c>
      <c r="V10" s="23">
        <v>0.88</v>
      </c>
      <c r="W10" s="23">
        <v>7.03</v>
      </c>
      <c r="X10" s="23">
        <v>166</v>
      </c>
      <c r="Y10" s="23">
        <v>172</v>
      </c>
      <c r="Z10" s="23">
        <v>179</v>
      </c>
      <c r="AA10" s="23">
        <v>182</v>
      </c>
      <c r="AB10" s="13">
        <v>8</v>
      </c>
      <c r="AC10" s="13">
        <v>9</v>
      </c>
      <c r="AD10" s="13">
        <v>10</v>
      </c>
      <c r="AE10" s="13">
        <v>11</v>
      </c>
      <c r="AF10" s="14"/>
      <c r="AG10" s="24"/>
    </row>
    <row r="11" spans="1:34" x14ac:dyDescent="0.55000000000000004">
      <c r="A11" s="19">
        <v>2025</v>
      </c>
      <c r="B11" s="20">
        <v>11</v>
      </c>
      <c r="C11" s="106">
        <v>45987</v>
      </c>
      <c r="D11" s="23" t="s">
        <v>59</v>
      </c>
      <c r="E11" s="23" t="s">
        <v>52</v>
      </c>
      <c r="F11" s="23">
        <v>24.4</v>
      </c>
      <c r="G11" s="23">
        <v>0.189</v>
      </c>
      <c r="H11" s="23">
        <v>21.5</v>
      </c>
      <c r="I11" s="23">
        <v>1.1399999999999999</v>
      </c>
      <c r="J11" s="23">
        <v>56</v>
      </c>
      <c r="K11" s="23">
        <v>167</v>
      </c>
      <c r="L11" s="23">
        <v>25.5</v>
      </c>
      <c r="M11" s="23">
        <v>6</v>
      </c>
      <c r="N11" s="23">
        <v>8</v>
      </c>
      <c r="O11" s="23">
        <v>7</v>
      </c>
      <c r="P11" s="23">
        <v>5</v>
      </c>
      <c r="Q11" s="23">
        <v>44</v>
      </c>
      <c r="R11" s="23">
        <v>144.6</v>
      </c>
      <c r="S11" s="23">
        <v>33.200000000000003</v>
      </c>
      <c r="T11" s="23">
        <v>18.2</v>
      </c>
      <c r="U11" s="108">
        <v>598</v>
      </c>
      <c r="V11" s="23">
        <v>0.95</v>
      </c>
      <c r="W11" s="23">
        <v>6.51</v>
      </c>
      <c r="X11" s="23">
        <v>170</v>
      </c>
      <c r="Y11" s="23">
        <v>174</v>
      </c>
      <c r="Z11" s="23">
        <v>183</v>
      </c>
      <c r="AA11" s="23">
        <v>184</v>
      </c>
      <c r="AB11" s="13">
        <v>8</v>
      </c>
      <c r="AC11" s="13">
        <v>9</v>
      </c>
      <c r="AD11" s="13">
        <v>10</v>
      </c>
      <c r="AE11" s="13">
        <v>11</v>
      </c>
      <c r="AF11" s="14"/>
      <c r="AG11" s="24"/>
    </row>
    <row r="12" spans="1:34" x14ac:dyDescent="0.55000000000000004">
      <c r="A12" s="19">
        <v>2025</v>
      </c>
      <c r="B12" s="20">
        <v>12</v>
      </c>
      <c r="C12" s="106">
        <v>46015</v>
      </c>
      <c r="D12" s="23" t="s">
        <v>59</v>
      </c>
      <c r="E12" s="23" t="s">
        <v>52</v>
      </c>
      <c r="F12" s="23">
        <v>22.1</v>
      </c>
      <c r="G12" s="23">
        <v>0.183</v>
      </c>
      <c r="H12" s="23">
        <v>18</v>
      </c>
      <c r="I12" s="23">
        <v>0.98</v>
      </c>
      <c r="J12" s="23">
        <v>50</v>
      </c>
      <c r="K12" s="23">
        <v>157</v>
      </c>
      <c r="L12" s="23">
        <v>24.1</v>
      </c>
      <c r="M12" s="23">
        <v>7</v>
      </c>
      <c r="N12" s="23">
        <v>9</v>
      </c>
      <c r="O12" s="23">
        <v>9</v>
      </c>
      <c r="P12" s="23">
        <v>8</v>
      </c>
      <c r="Q12" s="23">
        <v>47</v>
      </c>
      <c r="R12" s="23">
        <v>145</v>
      </c>
      <c r="S12" s="23">
        <v>34</v>
      </c>
      <c r="T12" s="23">
        <v>21.2</v>
      </c>
      <c r="U12" s="108">
        <v>562</v>
      </c>
      <c r="V12" s="23">
        <v>0.91</v>
      </c>
      <c r="W12" s="23">
        <v>6.81</v>
      </c>
      <c r="X12" s="23">
        <v>164</v>
      </c>
      <c r="Y12" s="23">
        <v>170</v>
      </c>
      <c r="Z12" s="23">
        <v>176</v>
      </c>
      <c r="AA12" s="23">
        <v>181</v>
      </c>
      <c r="AB12" s="13">
        <v>8</v>
      </c>
      <c r="AC12" s="13">
        <v>9</v>
      </c>
      <c r="AD12" s="13">
        <v>10</v>
      </c>
      <c r="AE12" s="13">
        <v>11</v>
      </c>
      <c r="AF12" s="14"/>
      <c r="AG12" s="24"/>
    </row>
    <row r="13" spans="1:34" x14ac:dyDescent="0.55000000000000004">
      <c r="A13" s="19">
        <v>2025</v>
      </c>
      <c r="B13" s="20">
        <v>1</v>
      </c>
      <c r="C13" s="106">
        <v>46050</v>
      </c>
      <c r="D13" s="23" t="s">
        <v>59</v>
      </c>
      <c r="E13" s="23" t="s">
        <v>52</v>
      </c>
      <c r="F13" s="23">
        <v>31.9</v>
      </c>
      <c r="G13" s="23">
        <v>0.20499999999999999</v>
      </c>
      <c r="H13" s="23">
        <v>15</v>
      </c>
      <c r="I13" s="23">
        <v>0.73</v>
      </c>
      <c r="J13" s="23">
        <v>54</v>
      </c>
      <c r="K13" s="23">
        <v>166</v>
      </c>
      <c r="L13" s="23">
        <v>24.2</v>
      </c>
      <c r="M13" s="23">
        <v>7</v>
      </c>
      <c r="N13" s="23">
        <v>9</v>
      </c>
      <c r="O13" s="23">
        <v>7</v>
      </c>
      <c r="P13" s="23">
        <v>5</v>
      </c>
      <c r="Q13" s="23">
        <v>46</v>
      </c>
      <c r="R13" s="23">
        <v>144.80000000000001</v>
      </c>
      <c r="S13" s="23">
        <v>34.700000000000003</v>
      </c>
      <c r="T13" s="23">
        <v>19.2</v>
      </c>
      <c r="U13" s="108">
        <v>687</v>
      </c>
      <c r="V13" s="23">
        <v>0.98</v>
      </c>
      <c r="W13" s="23">
        <v>7.16</v>
      </c>
      <c r="X13" s="23">
        <v>171</v>
      </c>
      <c r="Y13" s="23">
        <v>177</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F384D-E799-4FD5-9E64-09BAC29A3447}">
  <sheetPr codeName="Sheet2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大出悠貫</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64</v>
      </c>
      <c r="E9" s="13" t="s">
        <v>52</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67</v>
      </c>
      <c r="E10" s="23" t="s">
        <v>52</v>
      </c>
      <c r="F10" s="23">
        <v>19.5</v>
      </c>
      <c r="G10" s="23">
        <v>0.24299999999999999</v>
      </c>
      <c r="H10" s="23">
        <v>15.1</v>
      </c>
      <c r="I10" s="23">
        <v>0.62</v>
      </c>
      <c r="J10" s="23">
        <v>40</v>
      </c>
      <c r="K10" s="23">
        <v>128</v>
      </c>
      <c r="L10" s="23">
        <v>18.399999999999999</v>
      </c>
      <c r="M10" s="23">
        <v>7</v>
      </c>
      <c r="N10" s="23">
        <v>10</v>
      </c>
      <c r="O10" s="23">
        <v>1</v>
      </c>
      <c r="P10" s="23">
        <v>2</v>
      </c>
      <c r="Q10" s="23">
        <v>50</v>
      </c>
      <c r="R10" s="23">
        <v>128.19999999999999</v>
      </c>
      <c r="S10" s="23">
        <v>26</v>
      </c>
      <c r="T10" s="23">
        <v>15.8</v>
      </c>
      <c r="U10" s="108">
        <v>413</v>
      </c>
      <c r="V10" s="23">
        <v>0.89</v>
      </c>
      <c r="W10" s="23">
        <v>7.4</v>
      </c>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67</v>
      </c>
      <c r="E13" s="23" t="s">
        <v>52</v>
      </c>
      <c r="F13" s="23">
        <v>17.8</v>
      </c>
      <c r="G13" s="23">
        <v>0.248</v>
      </c>
      <c r="H13" s="23">
        <v>13.9</v>
      </c>
      <c r="I13" s="23">
        <v>0.56000000000000005</v>
      </c>
      <c r="J13" s="23">
        <v>47</v>
      </c>
      <c r="K13" s="23">
        <v>143</v>
      </c>
      <c r="L13" s="23">
        <v>17.600000000000001</v>
      </c>
      <c r="M13" s="23">
        <v>9</v>
      </c>
      <c r="N13" s="23">
        <v>4</v>
      </c>
      <c r="O13" s="23">
        <v>1</v>
      </c>
      <c r="P13" s="23">
        <v>5</v>
      </c>
      <c r="Q13" s="23">
        <v>50</v>
      </c>
      <c r="R13" s="23">
        <v>129.9</v>
      </c>
      <c r="S13" s="23">
        <v>28.1</v>
      </c>
      <c r="T13" s="23">
        <v>17.3</v>
      </c>
      <c r="U13" s="108">
        <v>395</v>
      </c>
      <c r="V13" s="23">
        <v>0.87</v>
      </c>
      <c r="W13" s="23">
        <v>8.33</v>
      </c>
      <c r="X13" s="23">
        <v>158</v>
      </c>
      <c r="Y13" s="23">
        <v>153</v>
      </c>
      <c r="Z13" s="23">
        <v>171</v>
      </c>
      <c r="AA13" s="23">
        <v>175</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5652-E79A-47ED-A7CA-D966616D93DB}">
  <sheetPr codeName="Sheet3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久保田葵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68</v>
      </c>
      <c r="E9" s="13" t="s">
        <v>65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72</v>
      </c>
      <c r="E10" s="23" t="s">
        <v>65</v>
      </c>
      <c r="F10" s="23">
        <v>20.399999999999999</v>
      </c>
      <c r="G10" s="23">
        <v>0.19500000000000001</v>
      </c>
      <c r="H10" s="23">
        <v>20.9</v>
      </c>
      <c r="I10" s="23">
        <v>1.07</v>
      </c>
      <c r="J10" s="23">
        <v>48</v>
      </c>
      <c r="K10" s="23">
        <v>153</v>
      </c>
      <c r="L10" s="23">
        <v>20.9</v>
      </c>
      <c r="M10" s="23">
        <v>6</v>
      </c>
      <c r="N10" s="23">
        <v>10</v>
      </c>
      <c r="O10" s="23">
        <v>1</v>
      </c>
      <c r="P10" s="23">
        <v>7</v>
      </c>
      <c r="Q10" s="23">
        <v>44</v>
      </c>
      <c r="R10" s="23">
        <v>147.80000000000001</v>
      </c>
      <c r="S10" s="23">
        <v>33.5</v>
      </c>
      <c r="T10" s="23">
        <v>17.8</v>
      </c>
      <c r="U10" s="108">
        <v>492</v>
      </c>
      <c r="V10" s="23">
        <v>0.9</v>
      </c>
      <c r="W10" s="23">
        <v>7.06</v>
      </c>
      <c r="X10" s="23">
        <v>162</v>
      </c>
      <c r="Y10" s="23">
        <v>175</v>
      </c>
      <c r="Z10" s="23">
        <v>186</v>
      </c>
      <c r="AA10" s="23">
        <v>192</v>
      </c>
      <c r="AB10" s="13">
        <v>7</v>
      </c>
      <c r="AC10" s="13">
        <v>8</v>
      </c>
      <c r="AD10" s="13">
        <v>9</v>
      </c>
      <c r="AE10" s="13">
        <v>10</v>
      </c>
      <c r="AF10" s="14"/>
      <c r="AG10" s="24"/>
    </row>
    <row r="11" spans="1:34" x14ac:dyDescent="0.55000000000000004">
      <c r="A11" s="19">
        <v>2025</v>
      </c>
      <c r="B11" s="20">
        <v>11</v>
      </c>
      <c r="C11" s="106">
        <v>45989</v>
      </c>
      <c r="D11" s="23" t="s">
        <v>72</v>
      </c>
      <c r="E11" s="23" t="s">
        <v>65</v>
      </c>
      <c r="F11" s="23">
        <v>22.1</v>
      </c>
      <c r="G11" s="23">
        <v>0.19500000000000001</v>
      </c>
      <c r="H11" s="23">
        <v>20.6</v>
      </c>
      <c r="I11" s="23">
        <v>1.06</v>
      </c>
      <c r="J11" s="23">
        <v>49</v>
      </c>
      <c r="K11" s="23">
        <v>146</v>
      </c>
      <c r="L11" s="23">
        <v>21.2</v>
      </c>
      <c r="M11" s="23">
        <v>6</v>
      </c>
      <c r="N11" s="23">
        <v>8</v>
      </c>
      <c r="O11" s="23">
        <v>3</v>
      </c>
      <c r="P11" s="23">
        <v>7</v>
      </c>
      <c r="Q11" s="23">
        <v>43</v>
      </c>
      <c r="R11" s="23">
        <v>147.6</v>
      </c>
      <c r="S11" s="23">
        <v>36.4</v>
      </c>
      <c r="T11" s="23">
        <v>18.7</v>
      </c>
      <c r="U11" s="108">
        <v>628</v>
      </c>
      <c r="V11" s="23">
        <v>0.95</v>
      </c>
      <c r="W11" s="23">
        <v>7.13</v>
      </c>
      <c r="X11" s="23">
        <v>165</v>
      </c>
      <c r="Y11" s="23">
        <v>178</v>
      </c>
      <c r="Z11" s="23">
        <v>188</v>
      </c>
      <c r="AA11" s="23">
        <v>187</v>
      </c>
      <c r="AB11" s="13">
        <v>7</v>
      </c>
      <c r="AC11" s="13">
        <v>8</v>
      </c>
      <c r="AD11" s="13">
        <v>9</v>
      </c>
      <c r="AE11" s="13">
        <v>10</v>
      </c>
      <c r="AF11" s="14"/>
      <c r="AG11" s="24"/>
    </row>
    <row r="12" spans="1:34" x14ac:dyDescent="0.55000000000000004">
      <c r="A12" s="19">
        <v>2025</v>
      </c>
      <c r="B12" s="20">
        <v>12</v>
      </c>
      <c r="C12" s="106">
        <v>46017</v>
      </c>
      <c r="D12" s="23" t="s">
        <v>72</v>
      </c>
      <c r="E12" s="23" t="s">
        <v>65</v>
      </c>
      <c r="F12" s="23">
        <v>23</v>
      </c>
      <c r="G12" s="23">
        <v>0.17399999999999999</v>
      </c>
      <c r="H12" s="23">
        <v>19.899999999999999</v>
      </c>
      <c r="I12" s="23">
        <v>1.1399999999999999</v>
      </c>
      <c r="J12" s="23">
        <v>48</v>
      </c>
      <c r="K12" s="23">
        <v>143</v>
      </c>
      <c r="L12" s="23">
        <v>23.7</v>
      </c>
      <c r="M12" s="23">
        <v>5</v>
      </c>
      <c r="N12" s="23">
        <v>9</v>
      </c>
      <c r="O12" s="23">
        <v>3</v>
      </c>
      <c r="P12" s="23">
        <v>10</v>
      </c>
      <c r="Q12" s="23">
        <v>45</v>
      </c>
      <c r="R12" s="23">
        <v>148.6</v>
      </c>
      <c r="S12" s="23">
        <v>37</v>
      </c>
      <c r="T12" s="23">
        <v>18.399999999999999</v>
      </c>
      <c r="U12" s="108">
        <v>551</v>
      </c>
      <c r="V12" s="23">
        <v>0.92</v>
      </c>
      <c r="W12" s="23">
        <v>6.88</v>
      </c>
      <c r="X12" s="23">
        <v>183</v>
      </c>
      <c r="Y12" s="23">
        <v>186</v>
      </c>
      <c r="Z12" s="23">
        <v>194</v>
      </c>
      <c r="AA12" s="23">
        <v>195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8A37-1E23-4581-B197-EB594F2970E1}">
  <sheetPr codeName="Sheet3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市村隆晟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45929</v>
      </c>
      <c r="D9" s="13" t="s">
        <v>61</v>
      </c>
      <c r="E9" s="13" t="s">
        <v>52</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63</v>
      </c>
      <c r="E10" s="23" t="s">
        <v>52</v>
      </c>
      <c r="F10" s="23">
        <v>33.9</v>
      </c>
      <c r="G10" s="23">
        <v>0.16500000000000001</v>
      </c>
      <c r="H10" s="23">
        <v>29.2</v>
      </c>
      <c r="I10" s="23">
        <v>1.77</v>
      </c>
      <c r="J10" s="23">
        <v>48</v>
      </c>
      <c r="K10" s="23">
        <v>195</v>
      </c>
      <c r="L10" s="23">
        <v>30</v>
      </c>
      <c r="M10" s="23">
        <v>10</v>
      </c>
      <c r="N10" s="23">
        <v>10</v>
      </c>
      <c r="O10" s="23">
        <v>5</v>
      </c>
      <c r="P10" s="23">
        <v>8</v>
      </c>
      <c r="Q10" s="23">
        <v>41</v>
      </c>
      <c r="R10" s="23">
        <v>150.9</v>
      </c>
      <c r="S10" s="23">
        <v>39.6</v>
      </c>
      <c r="T10" s="23">
        <v>21.1</v>
      </c>
      <c r="U10" s="108">
        <v>583</v>
      </c>
      <c r="V10" s="23">
        <v>0.92</v>
      </c>
      <c r="W10" s="23">
        <v>5.82</v>
      </c>
      <c r="X10" s="23">
        <v>152</v>
      </c>
      <c r="Y10" s="23">
        <v>161</v>
      </c>
      <c r="Z10" s="23">
        <v>168</v>
      </c>
      <c r="AA10" s="23">
        <v>175</v>
      </c>
      <c r="AB10" s="13">
        <v>8</v>
      </c>
      <c r="AC10" s="13">
        <v>9</v>
      </c>
      <c r="AD10" s="13">
        <v>10</v>
      </c>
      <c r="AE10" s="13">
        <v>11</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63</v>
      </c>
      <c r="E12" s="23" t="s">
        <v>52</v>
      </c>
      <c r="F12" s="23">
        <v>35.700000000000003</v>
      </c>
      <c r="G12" s="23">
        <v>0.15</v>
      </c>
      <c r="H12" s="23">
        <v>30.2</v>
      </c>
      <c r="I12" s="23">
        <v>2.0099999999999998</v>
      </c>
      <c r="J12" s="23">
        <v>53</v>
      </c>
      <c r="K12" s="23">
        <v>204</v>
      </c>
      <c r="L12" s="23">
        <v>30.3</v>
      </c>
      <c r="M12" s="23">
        <v>6</v>
      </c>
      <c r="N12" s="23">
        <v>5</v>
      </c>
      <c r="O12" s="23">
        <v>5</v>
      </c>
      <c r="P12" s="23">
        <v>10</v>
      </c>
      <c r="Q12" s="23">
        <v>40</v>
      </c>
      <c r="R12" s="23">
        <v>151.1</v>
      </c>
      <c r="S12" s="23">
        <v>42</v>
      </c>
      <c r="T12" s="23">
        <v>20.9</v>
      </c>
      <c r="U12" s="108">
        <v>649</v>
      </c>
      <c r="V12" s="23">
        <v>0.95</v>
      </c>
      <c r="W12" s="23">
        <v>5.78</v>
      </c>
      <c r="X12" s="23">
        <v>158</v>
      </c>
      <c r="Y12" s="23">
        <v>168</v>
      </c>
      <c r="Z12" s="23">
        <v>175</v>
      </c>
      <c r="AA12" s="23">
        <v>181</v>
      </c>
      <c r="AB12" s="13">
        <v>8</v>
      </c>
      <c r="AC12" s="13">
        <v>9</v>
      </c>
      <c r="AD12" s="13">
        <v>10</v>
      </c>
      <c r="AE12" s="13">
        <v>11</v>
      </c>
      <c r="AF12" s="14"/>
      <c r="AG12" s="24"/>
    </row>
    <row r="13" spans="1:34" x14ac:dyDescent="0.55000000000000004">
      <c r="A13" s="19">
        <v>2025</v>
      </c>
      <c r="B13" s="20">
        <v>1</v>
      </c>
      <c r="C13" s="106">
        <v>46048</v>
      </c>
      <c r="D13" s="23" t="s">
        <v>63</v>
      </c>
      <c r="E13" s="23" t="s">
        <v>52</v>
      </c>
      <c r="F13" s="23">
        <v>35.299999999999997</v>
      </c>
      <c r="G13" s="23">
        <v>0.161</v>
      </c>
      <c r="H13" s="23">
        <v>34.4</v>
      </c>
      <c r="I13" s="23">
        <v>2.14</v>
      </c>
      <c r="J13" s="23">
        <v>50</v>
      </c>
      <c r="K13" s="23">
        <v>198</v>
      </c>
      <c r="L13" s="23">
        <v>31.1</v>
      </c>
      <c r="M13" s="23">
        <v>9</v>
      </c>
      <c r="N13" s="23">
        <v>10</v>
      </c>
      <c r="O13" s="23">
        <v>8</v>
      </c>
      <c r="P13" s="23">
        <v>8</v>
      </c>
      <c r="Q13" s="23">
        <v>41</v>
      </c>
      <c r="R13" s="23">
        <v>152.4</v>
      </c>
      <c r="S13" s="23">
        <v>41.8</v>
      </c>
      <c r="T13" s="23">
        <v>21.7</v>
      </c>
      <c r="U13" s="108">
        <v>595</v>
      </c>
      <c r="V13" s="23">
        <v>0.92</v>
      </c>
      <c r="W13" s="23">
        <v>5.54</v>
      </c>
      <c r="X13" s="23">
        <v>153</v>
      </c>
      <c r="Y13" s="23">
        <v>165</v>
      </c>
      <c r="Z13" s="23">
        <v>173</v>
      </c>
      <c r="AA13" s="23">
        <v>178</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C14A9-FBF5-4C11-A416-D9C53640CEF4}">
  <sheetPr codeName="Sheet3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比良大輝</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72</v>
      </c>
      <c r="E10" s="23" t="s">
        <v>52</v>
      </c>
      <c r="F10" s="23">
        <v>22.7</v>
      </c>
      <c r="G10" s="23">
        <v>0.20699999999999999</v>
      </c>
      <c r="H10" s="23">
        <v>14.8</v>
      </c>
      <c r="I10" s="23">
        <v>0.72</v>
      </c>
      <c r="J10" s="23">
        <v>55</v>
      </c>
      <c r="K10" s="23">
        <v>165</v>
      </c>
      <c r="L10" s="23">
        <v>23.3</v>
      </c>
      <c r="M10" s="23">
        <v>6</v>
      </c>
      <c r="N10" s="23">
        <v>9</v>
      </c>
      <c r="O10" s="23">
        <v>2</v>
      </c>
      <c r="P10" s="23">
        <v>4</v>
      </c>
      <c r="Q10" s="23">
        <v>45</v>
      </c>
      <c r="R10" s="23">
        <v>138.4</v>
      </c>
      <c r="S10" s="23">
        <v>36</v>
      </c>
      <c r="T10" s="23">
        <v>19.100000000000001</v>
      </c>
      <c r="U10" s="108">
        <v>569</v>
      </c>
      <c r="V10" s="23">
        <v>0.93</v>
      </c>
      <c r="W10" s="23">
        <v>6.88</v>
      </c>
      <c r="X10" s="23">
        <v>163</v>
      </c>
      <c r="Y10" s="23">
        <v>177</v>
      </c>
      <c r="Z10" s="23">
        <v>185</v>
      </c>
      <c r="AA10" s="23">
        <v>186</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72</v>
      </c>
      <c r="E13" s="23" t="s">
        <v>52</v>
      </c>
      <c r="F13" s="23">
        <v>24.9</v>
      </c>
      <c r="G13" s="23">
        <v>0.23599999999999999</v>
      </c>
      <c r="H13" s="23">
        <v>13.2</v>
      </c>
      <c r="I13" s="23">
        <v>0.56000000000000005</v>
      </c>
      <c r="J13" s="23">
        <v>47</v>
      </c>
      <c r="K13" s="23">
        <v>152</v>
      </c>
      <c r="L13" s="23">
        <v>24.2</v>
      </c>
      <c r="M13" s="23">
        <v>8</v>
      </c>
      <c r="N13" s="23">
        <v>10</v>
      </c>
      <c r="O13" s="23">
        <v>4</v>
      </c>
      <c r="P13" s="23">
        <v>8</v>
      </c>
      <c r="Q13" s="23">
        <v>44</v>
      </c>
      <c r="R13" s="23">
        <v>140.80000000000001</v>
      </c>
      <c r="S13" s="23">
        <v>41</v>
      </c>
      <c r="T13" s="23">
        <v>19.2</v>
      </c>
      <c r="U13" s="108">
        <v>431</v>
      </c>
      <c r="V13" s="23">
        <v>0.87</v>
      </c>
      <c r="W13" s="23">
        <v>6.69</v>
      </c>
      <c r="X13" s="23">
        <v>152</v>
      </c>
      <c r="Y13" s="23">
        <v>162</v>
      </c>
      <c r="Z13" s="23">
        <v>174</v>
      </c>
      <c r="AA13" s="23">
        <v>179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C3569-EAFD-4C70-A1A8-60C396E5F2C9}">
  <sheetPr codeName="Sheet3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63</v>
      </c>
      <c r="E10" s="23" t="s">
        <v>52</v>
      </c>
      <c r="F10" s="23">
        <v>19.600000000000001</v>
      </c>
      <c r="G10" s="23">
        <v>0.247</v>
      </c>
      <c r="H10" s="23">
        <v>14.9</v>
      </c>
      <c r="I10" s="23">
        <v>0.6</v>
      </c>
      <c r="J10" s="23">
        <v>52</v>
      </c>
      <c r="K10" s="23">
        <v>156</v>
      </c>
      <c r="L10" s="23">
        <v>20.9</v>
      </c>
      <c r="M10" s="23">
        <v>5</v>
      </c>
      <c r="N10" s="23">
        <v>9</v>
      </c>
      <c r="O10" s="23">
        <v>6</v>
      </c>
      <c r="P10" s="23">
        <v>5</v>
      </c>
      <c r="Q10" s="23">
        <v>47</v>
      </c>
      <c r="R10" s="23">
        <v>156.69999999999999</v>
      </c>
      <c r="S10" s="23">
        <v>53.3</v>
      </c>
      <c r="T10" s="23">
        <v>20.3</v>
      </c>
      <c r="U10" s="108">
        <v>521</v>
      </c>
      <c r="V10" s="23">
        <v>0.9</v>
      </c>
      <c r="W10" s="23">
        <v>6.8</v>
      </c>
      <c r="X10" s="23">
        <v>160</v>
      </c>
      <c r="Y10" s="23">
        <v>170</v>
      </c>
      <c r="Z10" s="23">
        <v>170</v>
      </c>
      <c r="AA10" s="23">
        <v>183</v>
      </c>
      <c r="AB10" s="13">
        <v>7</v>
      </c>
      <c r="AC10" s="13">
        <v>8</v>
      </c>
      <c r="AD10" s="13">
        <v>9</v>
      </c>
      <c r="AE10" s="13">
        <v>10</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63</v>
      </c>
      <c r="E12" s="23" t="s">
        <v>52</v>
      </c>
      <c r="F12" s="23">
        <v>21.5</v>
      </c>
      <c r="G12" s="23">
        <v>0.20799999999999999</v>
      </c>
      <c r="H12" s="23">
        <v>18.8</v>
      </c>
      <c r="I12" s="23">
        <v>0.91</v>
      </c>
      <c r="J12" s="23">
        <v>51</v>
      </c>
      <c r="K12" s="23">
        <v>172</v>
      </c>
      <c r="L12" s="23">
        <v>18.100000000000001</v>
      </c>
      <c r="M12" s="23">
        <v>5</v>
      </c>
      <c r="N12" s="23">
        <v>10</v>
      </c>
      <c r="O12" s="23">
        <v>7</v>
      </c>
      <c r="P12" s="23">
        <v>5</v>
      </c>
      <c r="Q12" s="23">
        <v>46</v>
      </c>
      <c r="R12" s="23">
        <v>158.69999999999999</v>
      </c>
      <c r="S12" s="23">
        <v>51.4</v>
      </c>
      <c r="T12" s="23">
        <v>21.5</v>
      </c>
      <c r="U12" s="108">
        <v>521</v>
      </c>
      <c r="V12" s="23">
        <v>0.89</v>
      </c>
      <c r="W12" s="23">
        <v>6.76</v>
      </c>
      <c r="X12" s="23">
        <v>171</v>
      </c>
      <c r="Y12" s="23">
        <v>176</v>
      </c>
      <c r="Z12" s="23">
        <v>181</v>
      </c>
      <c r="AA12" s="23">
        <v>187</v>
      </c>
      <c r="AB12" s="13">
        <v>7</v>
      </c>
      <c r="AC12" s="13">
        <v>8</v>
      </c>
      <c r="AD12" s="13">
        <v>9</v>
      </c>
      <c r="AE12" s="13">
        <v>10</v>
      </c>
      <c r="AF12" s="14"/>
      <c r="AG12" s="24"/>
    </row>
    <row r="13" spans="1:34" x14ac:dyDescent="0.55000000000000004">
      <c r="A13" s="19">
        <v>2025</v>
      </c>
      <c r="B13" s="20">
        <v>1</v>
      </c>
      <c r="C13" s="106">
        <v>46050</v>
      </c>
      <c r="D13" s="23" t="s">
        <v>63</v>
      </c>
      <c r="E13" s="23" t="s">
        <v>52</v>
      </c>
      <c r="F13" s="23">
        <v>20.2</v>
      </c>
      <c r="G13" s="23">
        <v>0.217</v>
      </c>
      <c r="H13" s="23">
        <v>17</v>
      </c>
      <c r="I13" s="23">
        <v>0.78</v>
      </c>
      <c r="J13" s="23">
        <v>53</v>
      </c>
      <c r="K13" s="23">
        <v>164</v>
      </c>
      <c r="L13" s="23">
        <v>21.4</v>
      </c>
      <c r="M13" s="23">
        <v>4</v>
      </c>
      <c r="N13" s="23">
        <v>4</v>
      </c>
      <c r="O13" s="23">
        <v>6</v>
      </c>
      <c r="P13" s="23">
        <v>7</v>
      </c>
      <c r="Q13" s="23">
        <v>42</v>
      </c>
      <c r="R13" s="23">
        <v>158.9</v>
      </c>
      <c r="S13" s="23">
        <v>52.1</v>
      </c>
      <c r="T13" s="23">
        <v>20.3</v>
      </c>
      <c r="U13" s="108">
        <v>451</v>
      </c>
      <c r="V13" s="23">
        <v>0.87</v>
      </c>
      <c r="W13" s="23">
        <v>7.44</v>
      </c>
      <c r="X13" s="23">
        <v>180</v>
      </c>
      <c r="Y13" s="23">
        <v>187</v>
      </c>
      <c r="Z13" s="23">
        <v>193</v>
      </c>
      <c r="AA13" s="23">
        <v>195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45845-ECD9-4734-BF85-5E261159A931}">
  <sheetPr codeName="Sheet3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80</v>
      </c>
      <c r="E10" s="23" t="s">
        <v>52</v>
      </c>
      <c r="F10" s="23">
        <v>36.9</v>
      </c>
      <c r="G10" s="23">
        <v>0.17399999999999999</v>
      </c>
      <c r="H10" s="23">
        <v>29.1</v>
      </c>
      <c r="I10" s="23">
        <v>1.67</v>
      </c>
      <c r="J10" s="23">
        <v>66</v>
      </c>
      <c r="K10" s="23">
        <v>209</v>
      </c>
      <c r="L10" s="23">
        <v>35.700000000000003</v>
      </c>
      <c r="M10" s="23">
        <v>5</v>
      </c>
      <c r="N10" s="23">
        <v>10</v>
      </c>
      <c r="O10" s="23">
        <v>7</v>
      </c>
      <c r="P10" s="23">
        <v>8</v>
      </c>
      <c r="Q10" s="23">
        <v>43</v>
      </c>
      <c r="R10" s="23">
        <v>149.4</v>
      </c>
      <c r="S10" s="23">
        <v>39.700000000000003</v>
      </c>
      <c r="T10" s="23">
        <v>23.8</v>
      </c>
      <c r="U10" s="108">
        <v>588</v>
      </c>
      <c r="V10" s="23">
        <v>0.9</v>
      </c>
      <c r="W10" s="23">
        <v>6.07</v>
      </c>
      <c r="X10" s="23">
        <v>158</v>
      </c>
      <c r="Y10" s="23">
        <v>166</v>
      </c>
      <c r="Z10" s="23">
        <v>172</v>
      </c>
      <c r="AA10" s="23">
        <v>177</v>
      </c>
      <c r="AB10" s="13">
        <v>10</v>
      </c>
      <c r="AC10" s="13">
        <v>11</v>
      </c>
      <c r="AD10" s="13">
        <v>12</v>
      </c>
      <c r="AE10" s="13">
        <v>13</v>
      </c>
      <c r="AF10" s="14"/>
      <c r="AG10" s="24"/>
    </row>
    <row r="11" spans="1:34" x14ac:dyDescent="0.55000000000000004">
      <c r="A11" s="19">
        <v>2025</v>
      </c>
      <c r="B11" s="20">
        <v>11</v>
      </c>
      <c r="C11" s="106">
        <v>45978</v>
      </c>
      <c r="D11" s="23" t="s">
        <v>80</v>
      </c>
      <c r="E11" s="23" t="s">
        <v>52</v>
      </c>
      <c r="F11" s="23">
        <v>35.9</v>
      </c>
      <c r="G11" s="23">
        <v>0.16700000000000001</v>
      </c>
      <c r="H11" s="23">
        <v>29.6</v>
      </c>
      <c r="I11" s="23">
        <v>1.77</v>
      </c>
      <c r="J11" s="23">
        <v>66</v>
      </c>
      <c r="K11" s="23">
        <v>202</v>
      </c>
      <c r="L11" s="23">
        <v>35.5</v>
      </c>
      <c r="M11" s="23">
        <v>5</v>
      </c>
      <c r="N11" s="23">
        <v>10</v>
      </c>
      <c r="O11" s="23">
        <v>7</v>
      </c>
      <c r="P11" s="23">
        <v>9</v>
      </c>
      <c r="Q11" s="23">
        <v>43</v>
      </c>
      <c r="R11" s="23">
        <v>150.19999999999999</v>
      </c>
      <c r="S11" s="23">
        <v>39.700000000000003</v>
      </c>
      <c r="T11" s="23">
        <v>22.1</v>
      </c>
      <c r="U11" s="108">
        <v>579</v>
      </c>
      <c r="V11" s="23">
        <v>0.91</v>
      </c>
      <c r="W11" s="23">
        <v>5.9</v>
      </c>
      <c r="X11" s="23">
        <v>145</v>
      </c>
      <c r="Y11" s="23">
        <v>158</v>
      </c>
      <c r="Z11" s="23">
        <v>166</v>
      </c>
      <c r="AA11" s="23">
        <v>172</v>
      </c>
      <c r="AB11" s="13">
        <v>9</v>
      </c>
      <c r="AC11" s="13">
        <v>10</v>
      </c>
      <c r="AD11" s="13">
        <v>11</v>
      </c>
      <c r="AE11" s="13">
        <v>12</v>
      </c>
      <c r="AF11" s="14"/>
      <c r="AG11" s="24"/>
    </row>
    <row r="12" spans="1:34" x14ac:dyDescent="0.55000000000000004">
      <c r="A12" s="19">
        <v>2025</v>
      </c>
      <c r="B12" s="20">
        <v>12</v>
      </c>
      <c r="C12" s="106">
        <v>46013</v>
      </c>
      <c r="D12" s="23" t="s">
        <v>80</v>
      </c>
      <c r="E12" s="23" t="s">
        <v>52</v>
      </c>
      <c r="F12" s="23">
        <v>37.4</v>
      </c>
      <c r="G12" s="23">
        <v>0.16900000000000001</v>
      </c>
      <c r="H12" s="23">
        <v>27.7</v>
      </c>
      <c r="I12" s="23">
        <v>1.64</v>
      </c>
      <c r="J12" s="23">
        <v>70</v>
      </c>
      <c r="K12" s="23">
        <v>204</v>
      </c>
      <c r="L12" s="23">
        <v>37.6</v>
      </c>
      <c r="M12" s="23">
        <v>5</v>
      </c>
      <c r="N12" s="23">
        <v>10</v>
      </c>
      <c r="O12" s="23">
        <v>10</v>
      </c>
      <c r="P12" s="23">
        <v>6</v>
      </c>
      <c r="Q12" s="23">
        <v>40</v>
      </c>
      <c r="R12" s="23">
        <v>150.80000000000001</v>
      </c>
      <c r="S12" s="23">
        <v>40.200000000000003</v>
      </c>
      <c r="T12" s="23">
        <v>24</v>
      </c>
      <c r="U12" s="108">
        <v>521</v>
      </c>
      <c r="V12" s="23">
        <v>0.87</v>
      </c>
      <c r="W12" s="23">
        <v>5.77</v>
      </c>
      <c r="X12" s="23">
        <v>148</v>
      </c>
      <c r="Y12" s="23">
        <v>163</v>
      </c>
      <c r="Z12" s="23">
        <v>165</v>
      </c>
      <c r="AA12" s="23">
        <v>177</v>
      </c>
      <c r="AB12" s="13">
        <v>9</v>
      </c>
      <c r="AC12" s="13">
        <v>10</v>
      </c>
      <c r="AD12" s="13">
        <v>11</v>
      </c>
      <c r="AE12" s="13">
        <v>12</v>
      </c>
      <c r="AF12" s="14"/>
      <c r="AG12" s="24"/>
    </row>
    <row r="13" spans="1:34" x14ac:dyDescent="0.55000000000000004">
      <c r="A13" s="19">
        <v>2025</v>
      </c>
      <c r="B13" s="20">
        <v>1</v>
      </c>
      <c r="C13" s="106">
        <v>46048</v>
      </c>
      <c r="D13" s="23" t="s">
        <v>80</v>
      </c>
      <c r="E13" s="23" t="s">
        <v>52</v>
      </c>
      <c r="F13" s="23">
        <v>37.6</v>
      </c>
      <c r="G13" s="23">
        <v>0.17599999999999999</v>
      </c>
      <c r="H13" s="23">
        <v>31.8</v>
      </c>
      <c r="I13" s="23">
        <v>1.8</v>
      </c>
      <c r="J13" s="23">
        <v>64</v>
      </c>
      <c r="K13" s="23">
        <v>207</v>
      </c>
      <c r="L13" s="23">
        <v>35.299999999999997</v>
      </c>
      <c r="M13" s="23">
        <v>7</v>
      </c>
      <c r="N13" s="23">
        <v>10</v>
      </c>
      <c r="O13" s="23">
        <v>10</v>
      </c>
      <c r="P13" s="23">
        <v>4</v>
      </c>
      <c r="Q13" s="23">
        <v>40</v>
      </c>
      <c r="R13" s="23">
        <v>151</v>
      </c>
      <c r="S13" s="23">
        <v>42.5</v>
      </c>
      <c r="T13" s="23">
        <v>24.5</v>
      </c>
      <c r="U13" s="108">
        <v>578</v>
      </c>
      <c r="V13" s="23">
        <v>0.89</v>
      </c>
      <c r="W13" s="23">
        <v>5.42</v>
      </c>
      <c r="X13" s="23">
        <v>154</v>
      </c>
      <c r="Y13" s="23">
        <v>166</v>
      </c>
      <c r="Z13" s="23">
        <v>172</v>
      </c>
      <c r="AA13" s="23">
        <v>172</v>
      </c>
      <c r="AB13" s="13">
        <v>9</v>
      </c>
      <c r="AC13" s="13">
        <v>10</v>
      </c>
      <c r="AD13" s="13">
        <v>11</v>
      </c>
      <c r="AE13" s="13">
        <v>12</v>
      </c>
      <c r="AF13" s="14"/>
      <c r="AG13" s="24"/>
    </row>
    <row r="14" spans="1:34" x14ac:dyDescent="0.55000000000000004">
      <c r="A14" s="19">
        <v>2025</v>
      </c>
      <c r="B14" s="20">
        <v>2</v>
      </c>
      <c r="C14" s="106">
        <v>46069</v>
      </c>
      <c r="D14" s="23" t="s">
        <v>309</v>
      </c>
      <c r="E14" s="23" t="s">
        <v>306</v>
      </c>
      <c r="F14" s="23">
        <v>39.299999999999997</v>
      </c>
      <c r="G14" s="23">
        <v>0.17</v>
      </c>
      <c r="H14" s="23">
        <v>30</v>
      </c>
      <c r="I14" s="23">
        <v>1.77</v>
      </c>
      <c r="J14" s="23">
        <v>66</v>
      </c>
      <c r="K14" s="23">
        <v>205</v>
      </c>
      <c r="L14" s="23">
        <v>38.200000000000003</v>
      </c>
      <c r="M14" s="23">
        <v>6</v>
      </c>
      <c r="N14" s="23">
        <v>10</v>
      </c>
      <c r="O14" s="23">
        <v>8</v>
      </c>
      <c r="P14" s="23">
        <v>7</v>
      </c>
      <c r="Q14" s="23">
        <v>42</v>
      </c>
      <c r="R14" s="23">
        <v>151.6</v>
      </c>
      <c r="S14" s="23">
        <v>41.4</v>
      </c>
      <c r="T14" s="23">
        <v>23.5</v>
      </c>
      <c r="U14" s="108">
        <v>559</v>
      </c>
      <c r="V14" s="23">
        <v>0.89</v>
      </c>
      <c r="W14" s="23">
        <v>5.56</v>
      </c>
      <c r="X14" s="23">
        <v>148</v>
      </c>
      <c r="Y14" s="23">
        <v>151</v>
      </c>
      <c r="Z14" s="23">
        <v>161</v>
      </c>
      <c r="AA14" s="23">
        <v>161</v>
      </c>
      <c r="AB14" s="13">
        <v>9</v>
      </c>
      <c r="AC14" s="13">
        <v>10</v>
      </c>
      <c r="AD14" s="13">
        <v>11</v>
      </c>
      <c r="AE14" s="13">
        <v>12</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74ED6-DE4C-4756-A1C9-3AD9C66692B9}">
  <sheetPr codeName="Sheet3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72</v>
      </c>
      <c r="E10" s="23" t="s">
        <v>52</v>
      </c>
      <c r="F10" s="23">
        <v>22.6</v>
      </c>
      <c r="G10" s="23">
        <v>0.23799999999999999</v>
      </c>
      <c r="H10" s="23">
        <v>18.5</v>
      </c>
      <c r="I10" s="23">
        <v>0.78</v>
      </c>
      <c r="J10" s="23">
        <v>53</v>
      </c>
      <c r="K10" s="23">
        <v>150</v>
      </c>
      <c r="L10" s="23">
        <v>21.2</v>
      </c>
      <c r="M10" s="23">
        <v>6</v>
      </c>
      <c r="N10" s="23">
        <v>9</v>
      </c>
      <c r="O10" s="23">
        <v>6</v>
      </c>
      <c r="P10" s="23">
        <v>7</v>
      </c>
      <c r="Q10" s="23">
        <v>46</v>
      </c>
      <c r="R10" s="23">
        <v>145.1</v>
      </c>
      <c r="S10" s="23">
        <v>46.6</v>
      </c>
      <c r="T10" s="23">
        <v>19.8</v>
      </c>
      <c r="U10" s="108">
        <v>675</v>
      </c>
      <c r="V10" s="23">
        <v>0.97</v>
      </c>
      <c r="W10" s="23">
        <v>6.67</v>
      </c>
      <c r="X10" s="23">
        <v>181</v>
      </c>
      <c r="Y10" s="23">
        <v>192</v>
      </c>
      <c r="Z10" s="23">
        <v>193</v>
      </c>
      <c r="AA10" s="23">
        <v>201</v>
      </c>
      <c r="AB10" s="13">
        <v>8</v>
      </c>
      <c r="AC10" s="13">
        <v>9</v>
      </c>
      <c r="AD10" s="13">
        <v>10</v>
      </c>
      <c r="AE10" s="13">
        <v>11</v>
      </c>
      <c r="AF10" s="14"/>
      <c r="AG10" s="24"/>
    </row>
    <row r="11" spans="1:34" x14ac:dyDescent="0.55000000000000004">
      <c r="A11" s="19">
        <v>2025</v>
      </c>
      <c r="B11" s="20">
        <v>11</v>
      </c>
      <c r="C11" s="106">
        <v>45978</v>
      </c>
      <c r="D11" s="23" t="s">
        <v>59</v>
      </c>
      <c r="E11" s="23" t="s">
        <v>52</v>
      </c>
      <c r="F11" s="23">
        <v>23</v>
      </c>
      <c r="G11" s="23">
        <v>0.23</v>
      </c>
      <c r="H11" s="23">
        <v>16.899999999999999</v>
      </c>
      <c r="I11" s="23">
        <v>0.73</v>
      </c>
      <c r="J11" s="23">
        <v>50</v>
      </c>
      <c r="K11" s="23">
        <v>150</v>
      </c>
      <c r="L11" s="23">
        <v>22.5</v>
      </c>
      <c r="M11" s="23">
        <v>7</v>
      </c>
      <c r="N11" s="23">
        <v>10</v>
      </c>
      <c r="O11" s="23">
        <v>8</v>
      </c>
      <c r="P11" s="23">
        <v>5</v>
      </c>
      <c r="Q11" s="23">
        <v>46</v>
      </c>
      <c r="R11" s="23">
        <v>145.5</v>
      </c>
      <c r="S11" s="23">
        <v>45.4</v>
      </c>
      <c r="T11" s="23">
        <v>22</v>
      </c>
      <c r="U11" s="108">
        <v>460</v>
      </c>
      <c r="V11" s="23">
        <v>0.86</v>
      </c>
      <c r="W11" s="23">
        <v>6.44</v>
      </c>
      <c r="X11" s="23">
        <v>183</v>
      </c>
      <c r="Y11" s="23">
        <v>195</v>
      </c>
      <c r="Z11" s="23">
        <v>202</v>
      </c>
      <c r="AA11" s="23">
        <v>206</v>
      </c>
      <c r="AB11" s="13">
        <v>8</v>
      </c>
      <c r="AC11" s="13">
        <v>9</v>
      </c>
      <c r="AD11" s="13">
        <v>10</v>
      </c>
      <c r="AE11" s="13">
        <v>11</v>
      </c>
      <c r="AF11" s="14"/>
      <c r="AG11" s="24"/>
    </row>
    <row r="12" spans="1:34" x14ac:dyDescent="0.55000000000000004">
      <c r="A12" s="19">
        <v>2025</v>
      </c>
      <c r="B12" s="20">
        <v>12</v>
      </c>
      <c r="C12" s="106">
        <v>46013</v>
      </c>
      <c r="D12" s="23" t="s">
        <v>59</v>
      </c>
      <c r="E12" s="23" t="s">
        <v>52</v>
      </c>
      <c r="F12" s="23">
        <v>23.2</v>
      </c>
      <c r="G12" s="23">
        <v>0.19900000000000001</v>
      </c>
      <c r="H12" s="23">
        <v>16.5</v>
      </c>
      <c r="I12" s="23">
        <v>0.83</v>
      </c>
      <c r="J12" s="23">
        <v>58</v>
      </c>
      <c r="K12" s="23">
        <v>148</v>
      </c>
      <c r="L12" s="23">
        <v>24.3</v>
      </c>
      <c r="M12" s="23">
        <v>8</v>
      </c>
      <c r="N12" s="23">
        <v>9</v>
      </c>
      <c r="O12" s="23">
        <v>7</v>
      </c>
      <c r="P12" s="23">
        <v>6</v>
      </c>
      <c r="Q12" s="23">
        <v>46</v>
      </c>
      <c r="R12" s="23">
        <v>146</v>
      </c>
      <c r="S12" s="23">
        <v>46.4</v>
      </c>
      <c r="T12" s="23">
        <v>21</v>
      </c>
      <c r="U12" s="108">
        <v>465</v>
      </c>
      <c r="V12" s="23">
        <v>0.87</v>
      </c>
      <c r="W12" s="23">
        <v>6.22</v>
      </c>
      <c r="X12" s="23">
        <v>167</v>
      </c>
      <c r="Y12" s="23">
        <v>176</v>
      </c>
      <c r="Z12" s="23">
        <v>190</v>
      </c>
      <c r="AA12" s="23">
        <v>193</v>
      </c>
      <c r="AB12" s="13">
        <v>8</v>
      </c>
      <c r="AC12" s="13">
        <v>9</v>
      </c>
      <c r="AD12" s="13">
        <v>10</v>
      </c>
      <c r="AE12" s="13">
        <v>11</v>
      </c>
      <c r="AF12" s="14"/>
      <c r="AG12" s="24"/>
    </row>
    <row r="13" spans="1:34" x14ac:dyDescent="0.55000000000000004">
      <c r="A13" s="19">
        <v>2025</v>
      </c>
      <c r="B13" s="20">
        <v>1</v>
      </c>
      <c r="C13" s="106">
        <v>46048</v>
      </c>
      <c r="D13" s="23" t="s">
        <v>59</v>
      </c>
      <c r="E13" s="23" t="s">
        <v>52</v>
      </c>
      <c r="F13" s="23">
        <v>26.6</v>
      </c>
      <c r="G13" s="23">
        <v>0.2</v>
      </c>
      <c r="H13" s="23">
        <v>19.8</v>
      </c>
      <c r="I13" s="23">
        <v>0.99</v>
      </c>
      <c r="J13" s="23">
        <v>54</v>
      </c>
      <c r="K13" s="23">
        <v>142</v>
      </c>
      <c r="L13" s="23">
        <v>27.5</v>
      </c>
      <c r="M13" s="23">
        <v>8</v>
      </c>
      <c r="N13" s="23">
        <v>10</v>
      </c>
      <c r="O13" s="23">
        <v>7</v>
      </c>
      <c r="P13" s="23">
        <v>3</v>
      </c>
      <c r="Q13" s="23">
        <v>47</v>
      </c>
      <c r="R13" s="23">
        <v>146.19999999999999</v>
      </c>
      <c r="S13" s="23">
        <v>47.2</v>
      </c>
      <c r="T13" s="23">
        <v>21.8</v>
      </c>
      <c r="U13" s="108">
        <v>480</v>
      </c>
      <c r="V13" s="23">
        <v>0.87</v>
      </c>
      <c r="W13" s="23">
        <v>6.41</v>
      </c>
      <c r="X13" s="23">
        <v>169</v>
      </c>
      <c r="Y13" s="23">
        <v>184</v>
      </c>
      <c r="Z13" s="23">
        <v>195</v>
      </c>
      <c r="AA13" s="23">
        <v>200</v>
      </c>
      <c r="AB13" s="13">
        <v>8</v>
      </c>
      <c r="AC13" s="13">
        <v>9</v>
      </c>
      <c r="AD13" s="13">
        <v>10</v>
      </c>
      <c r="AE13" s="13">
        <v>11</v>
      </c>
      <c r="AF13" s="14"/>
      <c r="AG13" s="24"/>
    </row>
    <row r="14" spans="1:34" x14ac:dyDescent="0.55000000000000004">
      <c r="A14" s="19">
        <v>2025</v>
      </c>
      <c r="B14" s="20">
        <v>2</v>
      </c>
      <c r="C14" s="106">
        <v>46069</v>
      </c>
      <c r="D14" s="23" t="s">
        <v>305</v>
      </c>
      <c r="E14" s="23" t="s">
        <v>306</v>
      </c>
      <c r="F14" s="23">
        <v>26.7</v>
      </c>
      <c r="G14" s="23">
        <v>0.193</v>
      </c>
      <c r="H14" s="23">
        <v>18.8</v>
      </c>
      <c r="I14" s="23">
        <v>0.98</v>
      </c>
      <c r="J14" s="23">
        <v>57</v>
      </c>
      <c r="K14" s="23">
        <v>148</v>
      </c>
      <c r="L14" s="23">
        <v>26.6</v>
      </c>
      <c r="M14" s="23">
        <v>6</v>
      </c>
      <c r="N14" s="23">
        <v>10</v>
      </c>
      <c r="O14" s="23">
        <v>7</v>
      </c>
      <c r="P14" s="23">
        <v>7</v>
      </c>
      <c r="Q14" s="23">
        <v>46</v>
      </c>
      <c r="R14" s="23">
        <v>146.69999999999999</v>
      </c>
      <c r="S14" s="23">
        <v>47.7</v>
      </c>
      <c r="T14" s="23">
        <v>21.7</v>
      </c>
      <c r="U14" s="108">
        <v>478</v>
      </c>
      <c r="V14" s="23">
        <v>0.87</v>
      </c>
      <c r="W14" s="23">
        <v>6.49</v>
      </c>
      <c r="X14" s="23">
        <v>174</v>
      </c>
      <c r="Y14" s="23">
        <v>185</v>
      </c>
      <c r="Z14" s="23">
        <v>196</v>
      </c>
      <c r="AA14" s="23">
        <v>198</v>
      </c>
      <c r="AB14" s="13">
        <v>8</v>
      </c>
      <c r="AC14" s="13">
        <v>9</v>
      </c>
      <c r="AD14" s="13">
        <v>10</v>
      </c>
      <c r="AE14" s="13">
        <v>11</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F69FE-7B18-42A5-A29E-0A2C0D31B329}">
  <sheetPr codeName="Sheet36">
    <tabColor rgb="FFFF0000"/>
    <pageSetUpPr fitToPage="1"/>
  </sheetPr>
  <dimension ref="A1:AH44"/>
  <sheetViews>
    <sheetView topLeftCell="H1" zoomScale="75" zoomScaleNormal="7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玉川葵</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61</v>
      </c>
      <c r="E10" s="23" t="s">
        <v>52</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59</v>
      </c>
      <c r="E13" s="23" t="s">
        <v>52</v>
      </c>
      <c r="F13" s="23">
        <v>23.4</v>
      </c>
      <c r="G13" s="23">
        <v>0.16700000000000001</v>
      </c>
      <c r="H13" s="23">
        <v>15.7</v>
      </c>
      <c r="I13" s="23">
        <v>0.94</v>
      </c>
      <c r="J13" s="23">
        <v>56</v>
      </c>
      <c r="K13" s="23">
        <v>144</v>
      </c>
      <c r="L13" s="23">
        <v>23.2</v>
      </c>
      <c r="M13" s="23">
        <v>5</v>
      </c>
      <c r="N13" s="23">
        <v>10</v>
      </c>
      <c r="O13" s="23">
        <v>8</v>
      </c>
      <c r="P13" s="23">
        <v>3</v>
      </c>
      <c r="Q13" s="23">
        <v>44</v>
      </c>
      <c r="R13" s="23">
        <v>149.19999999999999</v>
      </c>
      <c r="S13" s="23">
        <v>50.9</v>
      </c>
      <c r="T13" s="23">
        <v>19.8</v>
      </c>
      <c r="U13" s="108">
        <v>442</v>
      </c>
      <c r="V13" s="23">
        <v>0.87</v>
      </c>
      <c r="W13" s="23">
        <v>7.88</v>
      </c>
      <c r="X13" s="23">
        <v>163</v>
      </c>
      <c r="Y13" s="23">
        <v>175</v>
      </c>
      <c r="Z13" s="23">
        <v>185</v>
      </c>
      <c r="AA13" s="23">
        <v>193</v>
      </c>
      <c r="AB13" s="13">
        <v>8</v>
      </c>
      <c r="AC13" s="13">
        <v>9</v>
      </c>
      <c r="AD13" s="13">
        <v>10</v>
      </c>
      <c r="AE13" s="13">
        <v>11</v>
      </c>
      <c r="AF13" s="14" t="s">
        <v>426</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33112-5813-44DA-8F95-FF3042E653F6}">
  <sheetPr codeName="Sheet8">
    <tabColor rgb="FFFF0000"/>
    <pageSetUpPr fitToPage="1"/>
  </sheetPr>
  <dimension ref="A1:AH44"/>
  <sheetViews>
    <sheetView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玉川風音</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68</v>
      </c>
      <c r="E10" s="23" t="s">
        <v>65</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72</v>
      </c>
      <c r="E13" s="23" t="s">
        <v>65</v>
      </c>
      <c r="F13" s="23">
        <v>25.8</v>
      </c>
      <c r="G13" s="23">
        <v>0.17699999999999999</v>
      </c>
      <c r="H13" s="23">
        <v>24.1</v>
      </c>
      <c r="I13" s="23">
        <v>1.36</v>
      </c>
      <c r="J13" s="23">
        <v>61</v>
      </c>
      <c r="K13" s="23">
        <v>159</v>
      </c>
      <c r="L13" s="23">
        <v>25.4</v>
      </c>
      <c r="M13" s="23">
        <v>2</v>
      </c>
      <c r="N13" s="23">
        <v>10</v>
      </c>
      <c r="O13" s="23">
        <v>5</v>
      </c>
      <c r="P13" s="23">
        <v>6</v>
      </c>
      <c r="Q13" s="23">
        <v>41</v>
      </c>
      <c r="R13" s="23">
        <v>140.80000000000001</v>
      </c>
      <c r="S13" s="23">
        <v>31.3</v>
      </c>
      <c r="T13" s="23">
        <v>20.100000000000001</v>
      </c>
      <c r="U13" s="108">
        <v>586</v>
      </c>
      <c r="V13" s="23">
        <v>0.92</v>
      </c>
      <c r="W13" s="23">
        <v>7.31</v>
      </c>
      <c r="X13" s="23">
        <v>179</v>
      </c>
      <c r="Y13" s="23">
        <v>187</v>
      </c>
      <c r="Z13" s="23">
        <v>194</v>
      </c>
      <c r="AA13" s="23">
        <v>196</v>
      </c>
      <c r="AB13" s="13">
        <v>7</v>
      </c>
      <c r="AC13" s="13">
        <v>8</v>
      </c>
      <c r="AD13" s="13">
        <v>9</v>
      </c>
      <c r="AE13" s="13">
        <v>10</v>
      </c>
      <c r="AF13" s="14" t="s">
        <v>427</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698D9-3E68-41C1-BFF9-FBF3E9D84136}">
  <sheetPr codeName="Sheet9">
    <tabColor rgb="FFFF0000"/>
    <pageSetUpPr fitToPage="1"/>
  </sheetPr>
  <dimension ref="A1:AH44"/>
  <sheetViews>
    <sheetView topLeftCell="U1"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小川根ノ葉</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67</v>
      </c>
      <c r="E11" s="23" t="s">
        <v>65</v>
      </c>
      <c r="F11" s="23">
        <v>13</v>
      </c>
      <c r="G11" s="23">
        <v>0.17899999999999999</v>
      </c>
      <c r="H11" s="23">
        <v>8</v>
      </c>
      <c r="I11" s="23">
        <v>0.55000000000000004</v>
      </c>
      <c r="J11" s="23">
        <v>30</v>
      </c>
      <c r="K11" s="23">
        <v>83</v>
      </c>
      <c r="L11" s="23">
        <v>12.7</v>
      </c>
      <c r="M11" s="23">
        <v>2</v>
      </c>
      <c r="N11" s="23">
        <v>5</v>
      </c>
      <c r="O11" s="23">
        <v>1</v>
      </c>
      <c r="P11" s="23">
        <v>1</v>
      </c>
      <c r="Q11" s="23">
        <v>57</v>
      </c>
      <c r="R11" s="23">
        <v>111</v>
      </c>
      <c r="S11" s="23">
        <v>21.8</v>
      </c>
      <c r="T11" s="23">
        <v>11.7</v>
      </c>
      <c r="U11" s="108">
        <v>367</v>
      </c>
      <c r="V11" s="23">
        <v>0.9</v>
      </c>
      <c r="W11" s="23">
        <v>9.69</v>
      </c>
      <c r="X11" s="23">
        <v>114</v>
      </c>
      <c r="Y11" s="23">
        <v>127</v>
      </c>
      <c r="Z11" s="23">
        <v>178</v>
      </c>
      <c r="AA11" s="23">
        <v>186</v>
      </c>
      <c r="AB11" s="13">
        <v>5</v>
      </c>
      <c r="AC11" s="13">
        <v>6</v>
      </c>
      <c r="AD11" s="13">
        <v>7</v>
      </c>
      <c r="AE11" s="13">
        <v>8</v>
      </c>
      <c r="AF11" s="14"/>
      <c r="AG11" s="24"/>
    </row>
    <row r="12" spans="1:34" x14ac:dyDescent="0.55000000000000004">
      <c r="A12" s="19">
        <v>2025</v>
      </c>
      <c r="B12" s="20">
        <v>12</v>
      </c>
      <c r="C12" s="106">
        <v>46013</v>
      </c>
      <c r="D12" s="23" t="s">
        <v>67</v>
      </c>
      <c r="E12" s="23" t="s">
        <v>65</v>
      </c>
      <c r="F12" s="23">
        <v>13.3</v>
      </c>
      <c r="G12" s="23">
        <v>0.19</v>
      </c>
      <c r="H12" s="23">
        <v>11.5</v>
      </c>
      <c r="I12" s="23">
        <v>0.6</v>
      </c>
      <c r="J12" s="23">
        <v>32</v>
      </c>
      <c r="K12" s="23">
        <v>79</v>
      </c>
      <c r="L12" s="23">
        <v>12.4</v>
      </c>
      <c r="M12" s="23">
        <v>4</v>
      </c>
      <c r="N12" s="23">
        <v>7</v>
      </c>
      <c r="O12" s="23">
        <v>3</v>
      </c>
      <c r="P12" s="23">
        <v>5</v>
      </c>
      <c r="Q12" s="23">
        <v>54</v>
      </c>
      <c r="R12" s="23">
        <v>112</v>
      </c>
      <c r="S12" s="23">
        <v>22.9</v>
      </c>
      <c r="T12" s="23">
        <v>12.8</v>
      </c>
      <c r="U12" s="108">
        <v>320</v>
      </c>
      <c r="V12" s="23">
        <v>0.87</v>
      </c>
      <c r="W12" s="23">
        <v>8.69</v>
      </c>
      <c r="X12" s="23">
        <v>174</v>
      </c>
      <c r="Y12" s="23">
        <v>184</v>
      </c>
      <c r="Z12" s="23">
        <v>175</v>
      </c>
      <c r="AA12" s="23">
        <v>178</v>
      </c>
      <c r="AB12" s="13">
        <v>6</v>
      </c>
      <c r="AC12" s="13">
        <v>7</v>
      </c>
      <c r="AD12" s="13">
        <v>6</v>
      </c>
      <c r="AE12" s="13">
        <v>6</v>
      </c>
      <c r="AF12" s="14"/>
      <c r="AG12" s="24"/>
    </row>
    <row r="13" spans="1:34" x14ac:dyDescent="0.55000000000000004">
      <c r="A13" s="19">
        <v>2025</v>
      </c>
      <c r="B13" s="20">
        <v>1</v>
      </c>
      <c r="C13" s="106">
        <v>46048</v>
      </c>
      <c r="D13" s="23" t="s">
        <v>67</v>
      </c>
      <c r="E13" s="23" t="s">
        <v>65</v>
      </c>
      <c r="F13" s="23">
        <v>12.9</v>
      </c>
      <c r="G13" s="23">
        <v>0.18</v>
      </c>
      <c r="H13" s="23">
        <v>10.6</v>
      </c>
      <c r="I13" s="23">
        <v>0.59</v>
      </c>
      <c r="J13" s="23">
        <v>34</v>
      </c>
      <c r="K13" s="23">
        <v>59</v>
      </c>
      <c r="L13" s="23">
        <v>12.1</v>
      </c>
      <c r="M13" s="23">
        <v>5</v>
      </c>
      <c r="N13" s="23">
        <v>6</v>
      </c>
      <c r="O13" s="23">
        <v>6</v>
      </c>
      <c r="P13" s="23">
        <v>5</v>
      </c>
      <c r="Q13" s="23">
        <v>57</v>
      </c>
      <c r="R13" s="23">
        <v>112.5</v>
      </c>
      <c r="S13" s="23">
        <v>23.4</v>
      </c>
      <c r="T13" s="23">
        <v>13.5</v>
      </c>
      <c r="U13" s="108">
        <v>264</v>
      </c>
      <c r="V13" s="23">
        <v>0.84</v>
      </c>
      <c r="W13" s="23">
        <v>8.8699999999999992</v>
      </c>
      <c r="X13" s="23">
        <v>158</v>
      </c>
      <c r="Y13" s="23">
        <v>172</v>
      </c>
      <c r="Z13" s="23">
        <v>176</v>
      </c>
      <c r="AA13" s="23">
        <v>177</v>
      </c>
      <c r="AB13" s="13">
        <v>6</v>
      </c>
      <c r="AC13" s="13">
        <v>7</v>
      </c>
      <c r="AD13" s="13">
        <v>7</v>
      </c>
      <c r="AE13" s="13">
        <v>7</v>
      </c>
      <c r="AF13" s="14" t="s">
        <v>312</v>
      </c>
      <c r="AG13" s="24"/>
    </row>
    <row r="14" spans="1:34" x14ac:dyDescent="0.55000000000000004">
      <c r="A14" s="19">
        <v>2025</v>
      </c>
      <c r="B14" s="20">
        <v>2</v>
      </c>
      <c r="C14" s="106">
        <v>46069</v>
      </c>
      <c r="D14" s="23" t="s">
        <v>576</v>
      </c>
      <c r="E14" s="23" t="s">
        <v>307</v>
      </c>
      <c r="F14" s="23">
        <v>12.5</v>
      </c>
      <c r="G14" s="23">
        <v>0.186</v>
      </c>
      <c r="H14" s="23">
        <v>13.1</v>
      </c>
      <c r="I14" s="23">
        <v>0.7</v>
      </c>
      <c r="J14" s="23">
        <v>39</v>
      </c>
      <c r="K14" s="23">
        <v>80</v>
      </c>
      <c r="L14" s="23">
        <v>12.2</v>
      </c>
      <c r="M14" s="23">
        <v>4</v>
      </c>
      <c r="N14" s="23">
        <v>7</v>
      </c>
      <c r="O14" s="23">
        <v>7</v>
      </c>
      <c r="P14" s="23">
        <v>4</v>
      </c>
      <c r="Q14" s="23">
        <v>54</v>
      </c>
      <c r="R14" s="23">
        <v>113.5</v>
      </c>
      <c r="S14" s="23">
        <v>24</v>
      </c>
      <c r="T14" s="23">
        <v>13.4</v>
      </c>
      <c r="U14" s="108">
        <v>355</v>
      </c>
      <c r="V14" s="23">
        <v>0.88</v>
      </c>
      <c r="W14" s="23">
        <v>8.52</v>
      </c>
      <c r="X14" s="23">
        <v>173</v>
      </c>
      <c r="Y14" s="23">
        <v>179</v>
      </c>
      <c r="Z14" s="23">
        <v>194</v>
      </c>
      <c r="AA14" s="23">
        <v>201</v>
      </c>
      <c r="AB14" s="13">
        <v>6</v>
      </c>
      <c r="AC14" s="13">
        <v>7</v>
      </c>
      <c r="AD14" s="13">
        <v>8</v>
      </c>
      <c r="AE14" s="13">
        <v>9</v>
      </c>
      <c r="AF14" s="14" t="s">
        <v>577</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E4D35-FF1B-4D4D-B96D-2EC953981F4B}">
  <sheetPr codeName="Sheet1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鈴木遼太郎</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430</v>
      </c>
      <c r="E11" s="23" t="s">
        <v>306</v>
      </c>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59</v>
      </c>
      <c r="E12" s="23" t="s">
        <v>52</v>
      </c>
      <c r="F12" s="23">
        <v>28.7</v>
      </c>
      <c r="G12" s="23">
        <v>0.22500000000000001</v>
      </c>
      <c r="H12" s="23">
        <v>17.100000000000001</v>
      </c>
      <c r="I12" s="23">
        <v>0.76</v>
      </c>
      <c r="J12" s="23">
        <v>55</v>
      </c>
      <c r="K12" s="23">
        <v>169</v>
      </c>
      <c r="L12" s="23">
        <v>28</v>
      </c>
      <c r="M12" s="23">
        <v>7</v>
      </c>
      <c r="N12" s="23">
        <v>9</v>
      </c>
      <c r="O12" s="23">
        <v>6</v>
      </c>
      <c r="P12" s="23">
        <v>4</v>
      </c>
      <c r="Q12" s="23">
        <v>46</v>
      </c>
      <c r="R12" s="23">
        <v>147.80000000000001</v>
      </c>
      <c r="S12" s="23">
        <v>34.5</v>
      </c>
      <c r="T12" s="23">
        <v>20.5</v>
      </c>
      <c r="U12" s="108">
        <v>642</v>
      </c>
      <c r="V12" s="23">
        <v>0.95</v>
      </c>
      <c r="W12" s="23">
        <v>6.88</v>
      </c>
      <c r="X12" s="23">
        <v>158</v>
      </c>
      <c r="Y12" s="23">
        <v>165</v>
      </c>
      <c r="Z12" s="23">
        <v>176</v>
      </c>
      <c r="AA12" s="23">
        <v>179</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31A8-4331-4BA0-86A5-7922A0AE24BA}">
  <sheetPr codeName="Sheet11">
    <tabColor rgb="FFFF0000"/>
    <pageSetUpPr fitToPage="1"/>
  </sheetPr>
  <dimension ref="A1:AH44"/>
  <sheetViews>
    <sheetView topLeftCell="A3" zoomScale="40" zoomScaleNormal="40" workbookViewId="0">
      <selection activeCell="N23" sqref="N2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佐藤友悠</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72</v>
      </c>
      <c r="E12" s="23" t="s">
        <v>52</v>
      </c>
      <c r="F12" s="23">
        <v>26.2</v>
      </c>
      <c r="G12" s="23">
        <v>0.17899999999999999</v>
      </c>
      <c r="H12" s="23">
        <v>21.7</v>
      </c>
      <c r="I12" s="23">
        <v>1.21</v>
      </c>
      <c r="J12" s="23">
        <v>46</v>
      </c>
      <c r="K12" s="23">
        <v>146</v>
      </c>
      <c r="L12" s="23">
        <v>25.9</v>
      </c>
      <c r="M12" s="23">
        <v>4</v>
      </c>
      <c r="N12" s="23">
        <v>9</v>
      </c>
      <c r="O12" s="23">
        <v>3</v>
      </c>
      <c r="P12" s="23">
        <v>5</v>
      </c>
      <c r="Q12" s="23">
        <v>48</v>
      </c>
      <c r="R12" s="23">
        <v>134.80000000000001</v>
      </c>
      <c r="S12" s="23">
        <v>30.8</v>
      </c>
      <c r="T12" s="23">
        <v>20.7</v>
      </c>
      <c r="U12" s="108">
        <v>436</v>
      </c>
      <c r="V12" s="23">
        <v>0.86</v>
      </c>
      <c r="W12" s="23">
        <v>7.56</v>
      </c>
      <c r="X12" s="23">
        <v>117</v>
      </c>
      <c r="Y12" s="23">
        <v>175</v>
      </c>
      <c r="Z12" s="23">
        <v>180</v>
      </c>
      <c r="AA12" s="23">
        <v>189</v>
      </c>
      <c r="AB12" s="13">
        <v>7</v>
      </c>
      <c r="AC12" s="13">
        <v>8</v>
      </c>
      <c r="AD12" s="13">
        <v>9</v>
      </c>
      <c r="AE12" s="13">
        <v>10</v>
      </c>
      <c r="AF12" s="14"/>
      <c r="AG12" s="24"/>
    </row>
    <row r="13" spans="1:34" x14ac:dyDescent="0.55000000000000004">
      <c r="A13" s="19">
        <v>2025</v>
      </c>
      <c r="B13" s="20">
        <v>1</v>
      </c>
      <c r="C13" s="106">
        <v>46050</v>
      </c>
      <c r="D13" s="23" t="s">
        <v>72</v>
      </c>
      <c r="E13" s="23" t="s">
        <v>52</v>
      </c>
      <c r="F13" s="23">
        <v>27.1</v>
      </c>
      <c r="G13" s="23">
        <v>0.16700000000000001</v>
      </c>
      <c r="H13" s="23">
        <v>19.8</v>
      </c>
      <c r="I13" s="23">
        <v>1.19</v>
      </c>
      <c r="J13" s="23">
        <v>46</v>
      </c>
      <c r="K13" s="23">
        <v>131</v>
      </c>
      <c r="L13" s="23">
        <v>25.8</v>
      </c>
      <c r="M13" s="23">
        <v>4</v>
      </c>
      <c r="N13" s="23">
        <v>9</v>
      </c>
      <c r="O13" s="23">
        <v>4</v>
      </c>
      <c r="P13" s="23">
        <v>2</v>
      </c>
      <c r="Q13" s="23">
        <v>47</v>
      </c>
      <c r="R13" s="23">
        <v>134.80000000000001</v>
      </c>
      <c r="S13" s="23">
        <v>31.4</v>
      </c>
      <c r="T13" s="23">
        <v>18.8</v>
      </c>
      <c r="U13" s="108">
        <v>516</v>
      </c>
      <c r="V13" s="23">
        <v>0.91</v>
      </c>
      <c r="W13" s="23">
        <v>7.9</v>
      </c>
      <c r="X13" s="23">
        <v>166</v>
      </c>
      <c r="Y13" s="23">
        <v>172</v>
      </c>
      <c r="Z13" s="23">
        <v>178</v>
      </c>
      <c r="AA13" s="23">
        <v>184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D2BB-30D3-4255-9351-FA24D2BFF502}">
  <sheetPr codeName="Sheet1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永井悠太郎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59</v>
      </c>
      <c r="E11" s="23" t="s">
        <v>52</v>
      </c>
      <c r="F11" s="23">
        <v>29.7</v>
      </c>
      <c r="G11" s="23">
        <v>0.187</v>
      </c>
      <c r="H11" s="23">
        <v>22.2</v>
      </c>
      <c r="I11" s="23">
        <v>1.19</v>
      </c>
      <c r="J11" s="23">
        <v>54</v>
      </c>
      <c r="K11" s="23">
        <v>197</v>
      </c>
      <c r="L11" s="23">
        <v>27</v>
      </c>
      <c r="M11" s="23">
        <v>6</v>
      </c>
      <c r="N11" s="23">
        <v>10</v>
      </c>
      <c r="O11" s="23">
        <v>8</v>
      </c>
      <c r="P11" s="23">
        <v>8</v>
      </c>
      <c r="Q11" s="23">
        <v>46</v>
      </c>
      <c r="R11" s="23">
        <v>142.80000000000001</v>
      </c>
      <c r="S11" s="23">
        <v>36</v>
      </c>
      <c r="T11" s="23">
        <v>20</v>
      </c>
      <c r="U11" s="108">
        <v>562</v>
      </c>
      <c r="V11" s="23">
        <v>0.92</v>
      </c>
      <c r="W11" s="23">
        <v>6.72</v>
      </c>
      <c r="X11" s="23">
        <v>140</v>
      </c>
      <c r="Y11" s="23">
        <v>149</v>
      </c>
      <c r="Z11" s="23">
        <v>163</v>
      </c>
      <c r="AA11" s="23">
        <v>166</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59</v>
      </c>
      <c r="E13" s="23" t="s">
        <v>52</v>
      </c>
      <c r="F13" s="23">
        <v>32.299999999999997</v>
      </c>
      <c r="G13" s="23">
        <v>0.16800000000000001</v>
      </c>
      <c r="H13" s="23">
        <v>22.1</v>
      </c>
      <c r="I13" s="23">
        <v>1.32</v>
      </c>
      <c r="J13" s="23">
        <v>55</v>
      </c>
      <c r="K13" s="23">
        <v>200</v>
      </c>
      <c r="L13" s="23">
        <v>31.8</v>
      </c>
      <c r="M13" s="23">
        <v>6</v>
      </c>
      <c r="N13" s="23">
        <v>7</v>
      </c>
      <c r="O13" s="23">
        <v>7</v>
      </c>
      <c r="P13" s="23">
        <v>7</v>
      </c>
      <c r="Q13" s="23">
        <v>45</v>
      </c>
      <c r="R13" s="23">
        <v>145.6</v>
      </c>
      <c r="S13" s="23">
        <v>36</v>
      </c>
      <c r="T13" s="23">
        <v>19.8</v>
      </c>
      <c r="U13" s="108">
        <v>605</v>
      </c>
      <c r="V13" s="23">
        <v>0.94</v>
      </c>
      <c r="W13" s="23">
        <v>6.45</v>
      </c>
      <c r="X13" s="23">
        <v>140</v>
      </c>
      <c r="Y13" s="23">
        <v>150</v>
      </c>
      <c r="Z13" s="23">
        <v>158</v>
      </c>
      <c r="AA13" s="23">
        <v>164</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02CF6-5692-45AD-AFB8-AE899A8D39C9}">
  <sheetPr codeName="Sheet1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大木ゆいか</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45992</v>
      </c>
      <c r="D12" s="23" t="s">
        <v>68</v>
      </c>
      <c r="E12" s="23" t="s">
        <v>65</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72</v>
      </c>
      <c r="E13" s="23" t="s">
        <v>65</v>
      </c>
      <c r="F13" s="23">
        <v>26.5</v>
      </c>
      <c r="G13" s="23">
        <v>0.17599999999999999</v>
      </c>
      <c r="H13" s="23">
        <v>25.9</v>
      </c>
      <c r="I13" s="23">
        <v>1.47</v>
      </c>
      <c r="J13" s="23">
        <v>49</v>
      </c>
      <c r="K13" s="23">
        <v>171</v>
      </c>
      <c r="L13" s="23">
        <v>24.7</v>
      </c>
      <c r="M13" s="23">
        <v>6</v>
      </c>
      <c r="N13" s="23">
        <v>10</v>
      </c>
      <c r="O13" s="23">
        <v>7</v>
      </c>
      <c r="P13" s="23">
        <v>4</v>
      </c>
      <c r="Q13" s="23">
        <v>42</v>
      </c>
      <c r="R13" s="23">
        <v>134.1</v>
      </c>
      <c r="S13" s="23">
        <v>27.2</v>
      </c>
      <c r="T13" s="23">
        <v>17.600000000000001</v>
      </c>
      <c r="U13" s="108">
        <v>628</v>
      </c>
      <c r="V13" s="23">
        <v>0.96</v>
      </c>
      <c r="W13" s="23">
        <v>6.41</v>
      </c>
      <c r="X13" s="23">
        <v>132</v>
      </c>
      <c r="Y13" s="23">
        <v>137</v>
      </c>
      <c r="Z13" s="23">
        <v>148</v>
      </c>
      <c r="AA13" s="23">
        <v>154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9942-FDA2-4EF0-BC64-2D80E7839875}">
  <sheetPr codeName="Sheet1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島田莉由</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72</v>
      </c>
      <c r="E12" s="23" t="s">
        <v>65</v>
      </c>
      <c r="F12" s="23">
        <v>23.4</v>
      </c>
      <c r="G12" s="23">
        <v>0.253</v>
      </c>
      <c r="H12" s="23">
        <v>14.5</v>
      </c>
      <c r="I12" s="23">
        <v>0.56999999999999995</v>
      </c>
      <c r="J12" s="23">
        <v>52</v>
      </c>
      <c r="K12" s="23">
        <v>125</v>
      </c>
      <c r="L12" s="23">
        <v>24.9</v>
      </c>
      <c r="M12" s="23">
        <v>4</v>
      </c>
      <c r="N12" s="23">
        <v>9</v>
      </c>
      <c r="O12" s="23">
        <v>2</v>
      </c>
      <c r="P12" s="23">
        <v>7</v>
      </c>
      <c r="Q12" s="23">
        <v>49</v>
      </c>
      <c r="R12" s="23">
        <v>136.69999999999999</v>
      </c>
      <c r="S12" s="23">
        <v>28.8</v>
      </c>
      <c r="T12" s="23">
        <v>17.2</v>
      </c>
      <c r="U12" s="108">
        <v>527</v>
      </c>
      <c r="V12" s="23">
        <v>0.92</v>
      </c>
      <c r="W12" s="23">
        <v>7.44</v>
      </c>
      <c r="X12" s="23">
        <v>145</v>
      </c>
      <c r="Y12" s="23">
        <v>154</v>
      </c>
      <c r="Z12" s="23">
        <v>163</v>
      </c>
      <c r="AA12" s="23">
        <v>168</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6414-ED72-4B64-9C6F-F07FC29428ED}">
  <sheetPr codeName="Sheet1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筒井陽菜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72</v>
      </c>
      <c r="E12" s="23" t="s">
        <v>65</v>
      </c>
      <c r="F12" s="23">
        <v>20</v>
      </c>
      <c r="G12" s="23">
        <v>0.2</v>
      </c>
      <c r="H12" s="23">
        <v>17.600000000000001</v>
      </c>
      <c r="I12" s="23">
        <v>0.88</v>
      </c>
      <c r="J12" s="23">
        <v>49</v>
      </c>
      <c r="K12" s="23">
        <v>127</v>
      </c>
      <c r="L12" s="23">
        <v>18</v>
      </c>
      <c r="M12" s="23">
        <v>7</v>
      </c>
      <c r="N12" s="23">
        <v>7</v>
      </c>
      <c r="O12" s="23">
        <v>4</v>
      </c>
      <c r="P12" s="23">
        <v>9</v>
      </c>
      <c r="Q12" s="23">
        <v>46</v>
      </c>
      <c r="R12" s="23">
        <v>140</v>
      </c>
      <c r="S12" s="23">
        <v>29.4</v>
      </c>
      <c r="T12" s="23">
        <v>15.9</v>
      </c>
      <c r="U12" s="108">
        <v>453</v>
      </c>
      <c r="V12" s="23">
        <v>0.9</v>
      </c>
      <c r="W12" s="23">
        <v>8.08</v>
      </c>
      <c r="X12" s="23">
        <v>131</v>
      </c>
      <c r="Y12" s="23">
        <v>150</v>
      </c>
      <c r="Z12" s="23">
        <v>174</v>
      </c>
      <c r="AA12" s="23">
        <v>176</v>
      </c>
      <c r="AB12" s="13">
        <v>7</v>
      </c>
      <c r="AC12" s="13">
        <v>8</v>
      </c>
      <c r="AD12" s="13">
        <v>9</v>
      </c>
      <c r="AE12" s="13">
        <v>8</v>
      </c>
      <c r="AF12" s="14"/>
      <c r="AG12" s="24"/>
    </row>
    <row r="13" spans="1:34" x14ac:dyDescent="0.55000000000000004">
      <c r="A13" s="19">
        <v>2025</v>
      </c>
      <c r="B13" s="20">
        <v>1</v>
      </c>
      <c r="C13" s="106">
        <v>46048</v>
      </c>
      <c r="D13" s="23" t="s">
        <v>72</v>
      </c>
      <c r="E13" s="23" t="s">
        <v>65</v>
      </c>
      <c r="F13" s="23">
        <v>19.399999999999999</v>
      </c>
      <c r="G13" s="23">
        <v>0.253</v>
      </c>
      <c r="H13" s="23">
        <v>18.5</v>
      </c>
      <c r="I13" s="23">
        <v>0.73</v>
      </c>
      <c r="J13" s="23">
        <v>47</v>
      </c>
      <c r="K13" s="23">
        <v>142</v>
      </c>
      <c r="L13" s="23">
        <v>19.600000000000001</v>
      </c>
      <c r="M13" s="23">
        <v>5</v>
      </c>
      <c r="N13" s="23">
        <v>9</v>
      </c>
      <c r="O13" s="23">
        <v>4</v>
      </c>
      <c r="P13" s="23">
        <v>7</v>
      </c>
      <c r="Q13" s="23">
        <v>46</v>
      </c>
      <c r="R13" s="23">
        <v>140.5</v>
      </c>
      <c r="S13" s="23">
        <v>29.7</v>
      </c>
      <c r="T13" s="23">
        <v>17.5</v>
      </c>
      <c r="U13" s="108">
        <v>463</v>
      </c>
      <c r="V13" s="23">
        <v>0.89</v>
      </c>
      <c r="W13" s="23">
        <v>7.36</v>
      </c>
      <c r="X13" s="23">
        <v>163</v>
      </c>
      <c r="Y13" s="23">
        <v>181</v>
      </c>
      <c r="Z13" s="23">
        <v>186</v>
      </c>
      <c r="AA13" s="23">
        <v>175</v>
      </c>
      <c r="AB13" s="13">
        <v>7</v>
      </c>
      <c r="AC13" s="13">
        <v>8</v>
      </c>
      <c r="AD13" s="13">
        <v>9</v>
      </c>
      <c r="AE13" s="13">
        <v>8</v>
      </c>
      <c r="AF13" s="14"/>
      <c r="AG13" s="24"/>
    </row>
    <row r="14" spans="1:34" x14ac:dyDescent="0.55000000000000004">
      <c r="A14" s="19">
        <v>2025</v>
      </c>
      <c r="B14" s="20">
        <v>2</v>
      </c>
      <c r="C14" s="106">
        <v>46069</v>
      </c>
      <c r="D14" s="23" t="s">
        <v>308</v>
      </c>
      <c r="E14" s="23" t="s">
        <v>307</v>
      </c>
      <c r="F14" s="23">
        <v>21.6</v>
      </c>
      <c r="G14" s="23">
        <v>0.2</v>
      </c>
      <c r="H14" s="23">
        <v>16.3</v>
      </c>
      <c r="I14" s="23">
        <v>0.82</v>
      </c>
      <c r="J14" s="23">
        <v>50</v>
      </c>
      <c r="K14" s="23">
        <v>136</v>
      </c>
      <c r="L14" s="23">
        <v>22.5</v>
      </c>
      <c r="M14" s="23">
        <v>5</v>
      </c>
      <c r="N14" s="23">
        <v>10</v>
      </c>
      <c r="O14" s="23">
        <v>8</v>
      </c>
      <c r="P14" s="23">
        <v>4</v>
      </c>
      <c r="Q14" s="23">
        <v>44</v>
      </c>
      <c r="R14" s="23">
        <v>141.1</v>
      </c>
      <c r="S14" s="23">
        <v>30</v>
      </c>
      <c r="T14" s="23">
        <v>16.8</v>
      </c>
      <c r="U14" s="108">
        <v>425</v>
      </c>
      <c r="V14" s="23">
        <v>0.88</v>
      </c>
      <c r="W14" s="23">
        <v>7.1</v>
      </c>
      <c r="X14" s="23">
        <v>183</v>
      </c>
      <c r="Y14" s="23">
        <v>188</v>
      </c>
      <c r="Z14" s="23">
        <v>191</v>
      </c>
      <c r="AA14" s="23">
        <v>192</v>
      </c>
      <c r="AB14" s="13">
        <v>7</v>
      </c>
      <c r="AC14" s="13">
        <v>8</v>
      </c>
      <c r="AD14" s="13">
        <v>9</v>
      </c>
      <c r="AE14" s="13">
        <v>9</v>
      </c>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E9425-FC48-480B-A5D8-5C432BCB6179}">
  <sheetPr codeName="Sheet17">
    <tabColor rgb="FFFF0000"/>
    <pageSetUpPr fitToPage="1"/>
  </sheetPr>
  <dimension ref="A1:AH44"/>
  <sheetViews>
    <sheetView topLeftCell="U11" zoomScaleNormal="10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飯野簾斗</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61</v>
      </c>
      <c r="E12" s="23" t="s">
        <v>52</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ht="409.5" x14ac:dyDescent="0.55000000000000004">
      <c r="A13" s="19">
        <v>2025</v>
      </c>
      <c r="B13" s="20">
        <v>1</v>
      </c>
      <c r="C13" s="106">
        <v>46052</v>
      </c>
      <c r="D13" s="23" t="s">
        <v>63</v>
      </c>
      <c r="E13" s="23" t="s">
        <v>52</v>
      </c>
      <c r="F13" s="23">
        <v>17.3</v>
      </c>
      <c r="G13" s="23">
        <v>0.24199999999999999</v>
      </c>
      <c r="H13" s="23">
        <v>8.6999999999999993</v>
      </c>
      <c r="I13" s="23">
        <v>0.36</v>
      </c>
      <c r="J13" s="23">
        <v>40</v>
      </c>
      <c r="K13" s="23">
        <v>95</v>
      </c>
      <c r="L13" s="23">
        <v>16.7</v>
      </c>
      <c r="M13" s="23">
        <v>5</v>
      </c>
      <c r="N13" s="23">
        <v>10</v>
      </c>
      <c r="O13" s="23">
        <v>5</v>
      </c>
      <c r="P13" s="23">
        <v>7</v>
      </c>
      <c r="Q13" s="23">
        <v>43</v>
      </c>
      <c r="R13" s="23">
        <v>160.4</v>
      </c>
      <c r="S13" s="23">
        <v>79.7</v>
      </c>
      <c r="T13" s="23">
        <v>19.899999999999999</v>
      </c>
      <c r="U13" s="108">
        <v>491</v>
      </c>
      <c r="V13" s="23">
        <v>0.89</v>
      </c>
      <c r="W13" s="23">
        <v>7.86</v>
      </c>
      <c r="X13" s="23">
        <v>175</v>
      </c>
      <c r="Y13" s="23">
        <v>185</v>
      </c>
      <c r="Z13" s="23">
        <v>190</v>
      </c>
      <c r="AA13" s="23">
        <v>192</v>
      </c>
      <c r="AB13" s="13">
        <v>8</v>
      </c>
      <c r="AC13" s="13">
        <v>9</v>
      </c>
      <c r="AD13" s="13">
        <v>10</v>
      </c>
      <c r="AE13" s="13">
        <v>11</v>
      </c>
      <c r="AF13" s="175" t="s">
        <v>508</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CCA9-0361-4B79-A8E3-5AA800EB0662}">
  <sheetPr codeName="Sheet18">
    <tabColor rgb="FFFF0000"/>
    <pageSetUpPr fitToPage="1"/>
  </sheetPr>
  <dimension ref="A1:AH44"/>
  <sheetViews>
    <sheetView zoomScale="40" zoomScaleNormal="4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飯野煌心</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429</v>
      </c>
      <c r="E12" s="23" t="s">
        <v>306</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84</v>
      </c>
      <c r="E13" s="23" t="s">
        <v>52</v>
      </c>
      <c r="F13" s="23">
        <v>15.8</v>
      </c>
      <c r="G13" s="23">
        <v>0.183</v>
      </c>
      <c r="H13" s="23">
        <v>14.8</v>
      </c>
      <c r="I13" s="23">
        <v>0.81</v>
      </c>
      <c r="J13" s="23">
        <v>46</v>
      </c>
      <c r="K13" s="23">
        <v>99</v>
      </c>
      <c r="L13" s="23">
        <v>17.100000000000001</v>
      </c>
      <c r="M13" s="23">
        <v>5</v>
      </c>
      <c r="N13" s="23">
        <v>2</v>
      </c>
      <c r="O13" s="23">
        <v>3</v>
      </c>
      <c r="P13" s="23">
        <v>1</v>
      </c>
      <c r="Q13" s="23">
        <v>49</v>
      </c>
      <c r="R13" s="23">
        <v>128</v>
      </c>
      <c r="S13" s="23">
        <v>26.6</v>
      </c>
      <c r="T13" s="23">
        <v>14.7</v>
      </c>
      <c r="U13" s="108">
        <v>392</v>
      </c>
      <c r="V13" s="23">
        <v>0.89</v>
      </c>
      <c r="W13" s="23">
        <v>8.36</v>
      </c>
      <c r="X13" s="23">
        <v>160</v>
      </c>
      <c r="Y13" s="23">
        <v>160</v>
      </c>
      <c r="Z13" s="23">
        <v>168</v>
      </c>
      <c r="AA13" s="23">
        <v>171</v>
      </c>
      <c r="AB13" s="13">
        <v>6</v>
      </c>
      <c r="AC13" s="13">
        <v>7</v>
      </c>
      <c r="AD13" s="13">
        <v>8</v>
      </c>
      <c r="AE13" s="13">
        <v>9</v>
      </c>
      <c r="AF13" s="14" t="s">
        <v>509</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1E38B-4F14-4C45-9992-38DC20A75575}">
  <sheetPr codeName="Sheet19">
    <tabColor rgb="FFFF0000"/>
    <pageSetUpPr fitToPage="1"/>
  </sheetPr>
  <dimension ref="A1:AH44"/>
  <sheetViews>
    <sheetView zoomScale="40" zoomScaleNormal="40" workbookViewId="0">
      <selection activeCell="AL25" sqref="AL2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飯野蓮凰</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64</v>
      </c>
      <c r="E12" s="23" t="s">
        <v>52</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67</v>
      </c>
      <c r="E13" s="23" t="s">
        <v>52</v>
      </c>
      <c r="F13" s="23">
        <v>18.399999999999999</v>
      </c>
      <c r="G13" s="23">
        <v>0.182</v>
      </c>
      <c r="H13" s="23">
        <v>16.100000000000001</v>
      </c>
      <c r="I13" s="23">
        <v>0.88</v>
      </c>
      <c r="J13" s="23">
        <v>53</v>
      </c>
      <c r="K13" s="23">
        <v>100</v>
      </c>
      <c r="L13" s="23">
        <v>17.5</v>
      </c>
      <c r="M13" s="23">
        <v>4</v>
      </c>
      <c r="N13" s="23">
        <v>9</v>
      </c>
      <c r="O13" s="23">
        <v>4</v>
      </c>
      <c r="P13" s="23">
        <v>3</v>
      </c>
      <c r="Q13" s="23">
        <v>49</v>
      </c>
      <c r="R13" s="23">
        <v>117</v>
      </c>
      <c r="S13" s="23">
        <v>16.899999999999999</v>
      </c>
      <c r="T13" s="23">
        <v>13</v>
      </c>
      <c r="U13" s="108">
        <v>407</v>
      </c>
      <c r="V13" s="23">
        <v>0.91</v>
      </c>
      <c r="W13" s="23">
        <v>7.89</v>
      </c>
      <c r="X13" s="23">
        <v>131</v>
      </c>
      <c r="Y13" s="23">
        <v>142</v>
      </c>
      <c r="Z13" s="23">
        <v>150</v>
      </c>
      <c r="AA13" s="23">
        <v>156</v>
      </c>
      <c r="AB13" s="13">
        <v>6</v>
      </c>
      <c r="AC13" s="13">
        <v>7</v>
      </c>
      <c r="AD13" s="13">
        <v>8</v>
      </c>
      <c r="AE13" s="13">
        <v>9</v>
      </c>
      <c r="AF13" s="14" t="s">
        <v>510</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E3CF7-348A-4122-B798-367B17503797}">
  <sheetPr codeName="Sheet72">
    <tabColor rgb="FFFF0000"/>
    <pageSetUpPr fitToPage="1"/>
  </sheetPr>
  <dimension ref="A1:AH44"/>
  <sheetViews>
    <sheetView zoomScale="101" zoomScaleNormal="40" workbookViewId="0">
      <selection activeCell="AF13" sqref="AF13"/>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和久井捺生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199</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63</v>
      </c>
      <c r="E13" s="23" t="s">
        <v>65</v>
      </c>
      <c r="F13" s="23">
        <v>22</v>
      </c>
      <c r="G13" s="23">
        <v>0.156</v>
      </c>
      <c r="H13" s="23">
        <v>22.4</v>
      </c>
      <c r="I13" s="23">
        <v>1.43</v>
      </c>
      <c r="J13" s="23">
        <v>54</v>
      </c>
      <c r="K13" s="23">
        <v>155</v>
      </c>
      <c r="L13" s="23">
        <v>19.7</v>
      </c>
      <c r="M13" s="23">
        <v>4</v>
      </c>
      <c r="N13" s="23">
        <v>10</v>
      </c>
      <c r="O13" s="23">
        <v>6</v>
      </c>
      <c r="P13" s="23">
        <v>4</v>
      </c>
      <c r="Q13" s="23">
        <v>44</v>
      </c>
      <c r="R13" s="23">
        <v>142.5</v>
      </c>
      <c r="S13" s="23">
        <v>32.799999999999997</v>
      </c>
      <c r="T13" s="23">
        <v>17.8</v>
      </c>
      <c r="U13" s="108">
        <v>562</v>
      </c>
      <c r="V13" s="23">
        <v>0.93</v>
      </c>
      <c r="W13" s="23">
        <v>7.88</v>
      </c>
      <c r="X13" s="23">
        <v>130</v>
      </c>
      <c r="Y13" s="23">
        <v>144</v>
      </c>
      <c r="Z13" s="23">
        <v>151</v>
      </c>
      <c r="AA13" s="23">
        <v>160</v>
      </c>
      <c r="AB13" s="13">
        <v>8</v>
      </c>
      <c r="AC13" s="13">
        <v>9</v>
      </c>
      <c r="AD13" s="13">
        <v>10</v>
      </c>
      <c r="AE13" s="13">
        <v>11</v>
      </c>
      <c r="AF13" s="14" t="s">
        <v>428</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4"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CH47"/>
  <sheetViews>
    <sheetView tabSelected="1" zoomScale="75" zoomScaleNormal="75" workbookViewId="0">
      <selection activeCell="A2" sqref="A2"/>
    </sheetView>
  </sheetViews>
  <sheetFormatPr defaultColWidth="9" defaultRowHeight="18" x14ac:dyDescent="0.55000000000000004"/>
  <cols>
    <col min="1" max="1" width="19.08203125" style="1" customWidth="1"/>
    <col min="2" max="2" width="10.58203125" style="1" customWidth="1"/>
    <col min="3" max="3" width="6.1640625" style="1" customWidth="1"/>
    <col min="4" max="4" width="5.1640625" style="1" bestFit="1" customWidth="1"/>
    <col min="5" max="5" width="26.4140625" style="1" customWidth="1"/>
    <col min="6" max="6" width="10.58203125" style="1" customWidth="1"/>
    <col min="7" max="7" width="19.58203125" style="1" customWidth="1"/>
    <col min="8" max="8" width="20.1640625" style="1" customWidth="1"/>
    <col min="9" max="9" width="15.4140625" style="1" customWidth="1"/>
    <col min="10" max="10" width="4.6640625" style="1" customWidth="1"/>
    <col min="11" max="11" width="11.58203125" style="1" customWidth="1"/>
    <col min="12" max="12" width="5.1640625" style="1" bestFit="1" customWidth="1"/>
    <col min="13" max="13" width="6.1640625" style="1" customWidth="1"/>
    <col min="14" max="14" width="5.6640625" style="1" customWidth="1"/>
    <col min="15" max="15" width="4.58203125" style="1" customWidth="1"/>
    <col min="16" max="16" width="11.9140625" style="1" customWidth="1"/>
    <col min="17" max="17" width="4.58203125" style="1" customWidth="1"/>
    <col min="18" max="18" width="11.9140625" style="1" customWidth="1"/>
    <col min="19" max="19" width="4.58203125" style="1" customWidth="1"/>
    <col min="20" max="20" width="11.9140625" style="1" customWidth="1"/>
    <col min="21" max="21" width="4.58203125" style="1" customWidth="1"/>
    <col min="22" max="22" width="11.9140625" style="1" customWidth="1"/>
    <col min="23" max="23" width="4.58203125" style="1" customWidth="1"/>
    <col min="24" max="24" width="11.9140625" style="1" customWidth="1"/>
    <col min="25" max="25" width="4.58203125" style="1" customWidth="1"/>
    <col min="26" max="26" width="11.9140625" style="1" customWidth="1"/>
    <col min="27" max="27" width="4.58203125" style="1" customWidth="1"/>
    <col min="28" max="28" width="11.9140625" style="1" customWidth="1"/>
    <col min="29" max="29" width="4.58203125" style="1" customWidth="1"/>
    <col min="30" max="30" width="11.9140625" style="1" customWidth="1"/>
    <col min="31" max="31" width="4.58203125" style="1" customWidth="1"/>
    <col min="32" max="32" width="11.9140625" style="1" customWidth="1"/>
    <col min="33" max="33" width="4.58203125" style="1" customWidth="1"/>
    <col min="34" max="34" width="11.9140625" style="1" customWidth="1"/>
    <col min="35" max="35" width="4.58203125" style="1" customWidth="1"/>
    <col min="36" max="36" width="11.9140625" style="1" customWidth="1"/>
    <col min="37" max="37" width="4.58203125" style="1" customWidth="1"/>
    <col min="38" max="38" width="11.9140625" style="1" customWidth="1"/>
    <col min="39" max="39" width="4.58203125" style="1" customWidth="1"/>
    <col min="40" max="40" width="11.9140625" style="1" customWidth="1"/>
    <col min="41" max="41" width="4.58203125" style="1" customWidth="1"/>
    <col min="42" max="42" width="11.9140625" style="1" customWidth="1"/>
    <col min="43" max="43" width="4.58203125" style="1" customWidth="1"/>
    <col min="44" max="44" width="11.9140625" style="1" customWidth="1"/>
    <col min="45" max="45" width="4.58203125" style="1" customWidth="1"/>
    <col min="46" max="46" width="11.9140625" style="1" customWidth="1"/>
    <col min="47" max="47" width="4.58203125" style="1" customWidth="1"/>
    <col min="48" max="48" width="11.9140625" style="1" customWidth="1"/>
    <col min="49" max="49" width="4.58203125" style="1" customWidth="1"/>
    <col min="50" max="50" width="11.9140625" style="1" customWidth="1"/>
    <col min="51" max="51" width="4.58203125" style="1" customWidth="1"/>
    <col min="52" max="52" width="11.9140625" style="1" customWidth="1"/>
    <col min="53" max="53" width="4.58203125" style="1" customWidth="1"/>
    <col min="54" max="54" width="11.9140625" style="1" customWidth="1"/>
    <col min="55" max="55" width="4.58203125" style="1" customWidth="1"/>
    <col min="56" max="56" width="11.9140625" style="1" customWidth="1"/>
    <col min="57" max="57" width="4.58203125" style="1" customWidth="1"/>
    <col min="58" max="58" width="11.9140625" style="1" customWidth="1"/>
    <col min="59" max="59" width="4.58203125" style="1" customWidth="1"/>
    <col min="60" max="60" width="11.9140625" style="1" customWidth="1"/>
    <col min="61" max="61" width="4.58203125" style="1" customWidth="1"/>
    <col min="62" max="62" width="11.9140625" style="1" customWidth="1"/>
    <col min="63" max="63" width="4.58203125" style="1" customWidth="1"/>
    <col min="64" max="64" width="11.9140625" style="1" customWidth="1"/>
    <col min="65" max="65" width="4.58203125" style="1" customWidth="1"/>
    <col min="66" max="66" width="11.9140625" style="1" customWidth="1"/>
    <col min="67" max="67" width="4.58203125" style="1" customWidth="1"/>
    <col min="68" max="68" width="11.9140625" style="1" customWidth="1"/>
    <col min="69" max="69" width="4.58203125" style="1" customWidth="1"/>
    <col min="70" max="70" width="11.9140625" style="1" customWidth="1"/>
    <col min="71" max="71" width="4.58203125" style="1" customWidth="1"/>
    <col min="72" max="72" width="11.9140625" style="1" customWidth="1"/>
    <col min="73" max="73" width="4.58203125" style="1" customWidth="1"/>
    <col min="74" max="74" width="11.9140625" style="1" customWidth="1"/>
    <col min="75" max="75" width="4.58203125" style="1" customWidth="1"/>
    <col min="76" max="76" width="11.9140625" style="1" customWidth="1"/>
    <col min="77" max="77" width="4.58203125" style="1" customWidth="1"/>
    <col min="78" max="78" width="11.9140625" style="1" customWidth="1"/>
    <col min="79" max="79" width="4.58203125" style="1" customWidth="1"/>
    <col min="80" max="80" width="11.9140625" style="1" customWidth="1"/>
    <col min="81" max="81" width="4.58203125" style="1" customWidth="1"/>
    <col min="82" max="82" width="11.9140625" style="1" customWidth="1"/>
    <col min="83" max="83" width="4.58203125" style="1" customWidth="1"/>
    <col min="84" max="84" width="11.9140625" style="1" customWidth="1"/>
    <col min="85" max="85" width="4.58203125" style="1" customWidth="1"/>
    <col min="86" max="86" width="11.9140625" style="1" customWidth="1"/>
    <col min="87" max="16384" width="9" style="1"/>
  </cols>
  <sheetData>
    <row r="1" spans="1:86" x14ac:dyDescent="0.55000000000000004">
      <c r="A1" s="2" t="s">
        <v>9</v>
      </c>
      <c r="B1" s="2" t="s">
        <v>10</v>
      </c>
      <c r="C1" s="2" t="s">
        <v>11</v>
      </c>
      <c r="D1" s="2" t="s">
        <v>12</v>
      </c>
      <c r="E1" s="2" t="s">
        <v>13</v>
      </c>
      <c r="F1" s="2" t="s">
        <v>3</v>
      </c>
      <c r="G1" s="2" t="s">
        <v>2</v>
      </c>
      <c r="H1" s="2" t="s">
        <v>4</v>
      </c>
      <c r="I1" s="2" t="s">
        <v>5</v>
      </c>
      <c r="J1" s="2" t="s">
        <v>6</v>
      </c>
      <c r="K1" s="2" t="s">
        <v>7</v>
      </c>
      <c r="L1" s="2" t="s">
        <v>1</v>
      </c>
      <c r="M1" s="2" t="s">
        <v>0</v>
      </c>
      <c r="N1" s="2" t="s">
        <v>8</v>
      </c>
      <c r="O1" s="178" t="s">
        <v>14</v>
      </c>
      <c r="P1" s="179" t="s">
        <v>14</v>
      </c>
      <c r="Q1" s="178" t="s">
        <v>15</v>
      </c>
      <c r="R1" s="179" t="s">
        <v>15</v>
      </c>
      <c r="S1" s="178" t="s">
        <v>16</v>
      </c>
      <c r="T1" s="179" t="s">
        <v>16</v>
      </c>
      <c r="U1" s="178" t="s">
        <v>17</v>
      </c>
      <c r="V1" s="179" t="s">
        <v>17</v>
      </c>
      <c r="W1" s="178" t="s">
        <v>18</v>
      </c>
      <c r="X1" s="179" t="s">
        <v>18</v>
      </c>
      <c r="Y1" s="178" t="s">
        <v>19</v>
      </c>
      <c r="Z1" s="179" t="s">
        <v>19</v>
      </c>
      <c r="AA1" s="178" t="s">
        <v>20</v>
      </c>
      <c r="AB1" s="179" t="s">
        <v>20</v>
      </c>
      <c r="AC1" s="178" t="s">
        <v>21</v>
      </c>
      <c r="AD1" s="179" t="s">
        <v>21</v>
      </c>
      <c r="AE1" s="178" t="s">
        <v>22</v>
      </c>
      <c r="AF1" s="179" t="s">
        <v>22</v>
      </c>
      <c r="AG1" s="178" t="s">
        <v>23</v>
      </c>
      <c r="AH1" s="179" t="s">
        <v>23</v>
      </c>
      <c r="AI1" s="178" t="s">
        <v>24</v>
      </c>
      <c r="AJ1" s="179" t="s">
        <v>24</v>
      </c>
      <c r="AK1" s="178" t="s">
        <v>25</v>
      </c>
      <c r="AL1" s="179" t="s">
        <v>25</v>
      </c>
      <c r="AM1" s="178" t="s">
        <v>26</v>
      </c>
      <c r="AN1" s="179" t="s">
        <v>26</v>
      </c>
      <c r="AO1" s="178" t="s">
        <v>27</v>
      </c>
      <c r="AP1" s="179" t="s">
        <v>27</v>
      </c>
      <c r="AQ1" s="178" t="s">
        <v>28</v>
      </c>
      <c r="AR1" s="179" t="s">
        <v>28</v>
      </c>
      <c r="AS1" s="178" t="s">
        <v>29</v>
      </c>
      <c r="AT1" s="179" t="s">
        <v>29</v>
      </c>
      <c r="AU1" s="178" t="s">
        <v>30</v>
      </c>
      <c r="AV1" s="179" t="s">
        <v>30</v>
      </c>
      <c r="AW1" s="178" t="s">
        <v>31</v>
      </c>
      <c r="AX1" s="179" t="s">
        <v>31</v>
      </c>
      <c r="AY1" s="178" t="s">
        <v>32</v>
      </c>
      <c r="AZ1" s="179" t="s">
        <v>32</v>
      </c>
      <c r="BA1" s="178" t="s">
        <v>33</v>
      </c>
      <c r="BB1" s="179" t="s">
        <v>33</v>
      </c>
      <c r="BC1" s="178" t="s">
        <v>34</v>
      </c>
      <c r="BD1" s="179" t="s">
        <v>34</v>
      </c>
      <c r="BE1" s="178" t="s">
        <v>35</v>
      </c>
      <c r="BF1" s="179" t="s">
        <v>35</v>
      </c>
      <c r="BG1" s="178" t="s">
        <v>36</v>
      </c>
      <c r="BH1" s="179" t="s">
        <v>36</v>
      </c>
      <c r="BI1" s="178" t="s">
        <v>37</v>
      </c>
      <c r="BJ1" s="179" t="s">
        <v>37</v>
      </c>
      <c r="BK1" s="178" t="s">
        <v>38</v>
      </c>
      <c r="BL1" s="179" t="s">
        <v>38</v>
      </c>
      <c r="BM1" s="178" t="s">
        <v>39</v>
      </c>
      <c r="BN1" s="179" t="s">
        <v>39</v>
      </c>
      <c r="BO1" s="178" t="s">
        <v>40</v>
      </c>
      <c r="BP1" s="179" t="s">
        <v>40</v>
      </c>
      <c r="BQ1" s="178" t="s">
        <v>41</v>
      </c>
      <c r="BR1" s="179" t="s">
        <v>41</v>
      </c>
      <c r="BS1" s="178" t="s">
        <v>42</v>
      </c>
      <c r="BT1" s="179" t="s">
        <v>42</v>
      </c>
      <c r="BU1" s="178" t="s">
        <v>43</v>
      </c>
      <c r="BV1" s="179" t="s">
        <v>43</v>
      </c>
      <c r="BW1" s="178" t="s">
        <v>44</v>
      </c>
      <c r="BX1" s="179" t="s">
        <v>44</v>
      </c>
      <c r="BY1" s="178" t="s">
        <v>45</v>
      </c>
      <c r="BZ1" s="179" t="s">
        <v>45</v>
      </c>
      <c r="CA1" s="178" t="s">
        <v>46</v>
      </c>
      <c r="CB1" s="179" t="s">
        <v>46</v>
      </c>
      <c r="CC1" s="178" t="s">
        <v>47</v>
      </c>
      <c r="CD1" s="179" t="s">
        <v>47</v>
      </c>
      <c r="CE1" s="178" t="s">
        <v>48</v>
      </c>
      <c r="CF1" s="179" t="s">
        <v>48</v>
      </c>
      <c r="CG1" s="178" t="s">
        <v>49</v>
      </c>
      <c r="CH1" s="179" t="s">
        <v>49</v>
      </c>
    </row>
    <row r="2" spans="1:86" x14ac:dyDescent="0.55000000000000004">
      <c r="A2" s="3" t="s">
        <v>591</v>
      </c>
      <c r="B2" s="3" t="s">
        <v>592</v>
      </c>
      <c r="C2" s="3" t="s">
        <v>83</v>
      </c>
      <c r="D2" s="3" t="s">
        <v>65</v>
      </c>
      <c r="E2" s="3" t="s">
        <v>62</v>
      </c>
      <c r="F2" s="3" t="s">
        <v>710</v>
      </c>
      <c r="G2" s="3" t="s">
        <v>50</v>
      </c>
      <c r="H2" s="3" t="s">
        <v>55</v>
      </c>
      <c r="I2" s="3" t="s">
        <v>56</v>
      </c>
      <c r="J2" s="3" t="s">
        <v>60</v>
      </c>
      <c r="K2" s="3" t="s">
        <v>58</v>
      </c>
      <c r="L2" s="3" t="s">
        <v>65</v>
      </c>
      <c r="M2" s="3" t="s">
        <v>83</v>
      </c>
      <c r="N2" s="3" t="s">
        <v>84</v>
      </c>
      <c r="O2" s="3" t="s">
        <v>53</v>
      </c>
      <c r="P2" s="3" t="s">
        <v>237</v>
      </c>
      <c r="Q2" s="3" t="s">
        <v>53</v>
      </c>
      <c r="R2" s="3" t="s">
        <v>238</v>
      </c>
      <c r="S2" s="3" t="s">
        <v>53</v>
      </c>
      <c r="T2" s="3" t="s">
        <v>214</v>
      </c>
      <c r="U2" s="3" t="s">
        <v>53</v>
      </c>
      <c r="V2" s="3" t="s">
        <v>200</v>
      </c>
      <c r="W2" s="3" t="s">
        <v>53</v>
      </c>
      <c r="X2" s="3" t="s">
        <v>711</v>
      </c>
      <c r="Y2" s="3" t="s">
        <v>53</v>
      </c>
      <c r="Z2" s="3" t="s">
        <v>346</v>
      </c>
      <c r="AA2" s="3" t="s">
        <v>53</v>
      </c>
      <c r="AB2" s="3" t="s">
        <v>267</v>
      </c>
      <c r="AC2" s="3" t="s">
        <v>53</v>
      </c>
      <c r="AD2" s="3" t="s">
        <v>359</v>
      </c>
      <c r="AE2" s="3" t="s">
        <v>53</v>
      </c>
      <c r="AF2" s="3" t="s">
        <v>712</v>
      </c>
      <c r="AG2" s="3" t="s">
        <v>53</v>
      </c>
      <c r="AH2" s="3" t="s">
        <v>713</v>
      </c>
      <c r="AI2" s="3" t="s">
        <v>53</v>
      </c>
      <c r="AJ2" s="3" t="s">
        <v>714</v>
      </c>
      <c r="AK2" s="3" t="s">
        <v>53</v>
      </c>
      <c r="AL2" s="3" t="s">
        <v>715</v>
      </c>
      <c r="AM2" s="3" t="s">
        <v>53</v>
      </c>
      <c r="AN2" s="3" t="s">
        <v>716</v>
      </c>
      <c r="AO2" s="3" t="s">
        <v>53</v>
      </c>
      <c r="AP2" s="3" t="s">
        <v>717</v>
      </c>
      <c r="AQ2" s="3" t="s">
        <v>53</v>
      </c>
      <c r="AR2" s="3" t="s">
        <v>718</v>
      </c>
      <c r="AS2" s="3" t="s">
        <v>53</v>
      </c>
      <c r="AT2" s="3" t="s">
        <v>326</v>
      </c>
      <c r="AU2" s="3" t="s">
        <v>53</v>
      </c>
      <c r="AV2" s="3" t="s">
        <v>719</v>
      </c>
      <c r="AW2" s="3" t="s">
        <v>53</v>
      </c>
      <c r="AX2" s="3" t="s">
        <v>535</v>
      </c>
      <c r="AY2" s="3" t="s">
        <v>53</v>
      </c>
      <c r="AZ2" s="3" t="s">
        <v>650</v>
      </c>
      <c r="BA2" s="3" t="s">
        <v>53</v>
      </c>
      <c r="BB2" s="3" t="s">
        <v>259</v>
      </c>
      <c r="BC2" s="3" t="s">
        <v>53</v>
      </c>
      <c r="BD2" s="3" t="s">
        <v>241</v>
      </c>
      <c r="BE2" s="3" t="s">
        <v>53</v>
      </c>
      <c r="BF2" s="3" t="s">
        <v>253</v>
      </c>
      <c r="BG2" s="3" t="s">
        <v>53</v>
      </c>
      <c r="BH2" s="3" t="s">
        <v>209</v>
      </c>
      <c r="BI2" s="3" t="s">
        <v>53</v>
      </c>
      <c r="BJ2" s="3" t="s">
        <v>373</v>
      </c>
      <c r="BK2" s="3" t="s">
        <v>53</v>
      </c>
      <c r="BL2" s="3" t="s">
        <v>375</v>
      </c>
      <c r="BM2" s="3" t="s">
        <v>53</v>
      </c>
      <c r="BN2" s="3" t="s">
        <v>250</v>
      </c>
      <c r="BO2" s="3" t="s">
        <v>53</v>
      </c>
      <c r="BP2" s="3" t="s">
        <v>720</v>
      </c>
      <c r="BQ2" s="3" t="s">
        <v>53</v>
      </c>
      <c r="BR2" s="3" t="s">
        <v>596</v>
      </c>
      <c r="BS2" s="3" t="s">
        <v>53</v>
      </c>
      <c r="BT2" s="3" t="s">
        <v>721</v>
      </c>
      <c r="BU2" s="3" t="s">
        <v>53</v>
      </c>
      <c r="BV2" s="3" t="s">
        <v>527</v>
      </c>
      <c r="BW2" s="3" t="s">
        <v>53</v>
      </c>
      <c r="BX2" s="3" t="s">
        <v>289</v>
      </c>
      <c r="BY2" s="3" t="s">
        <v>53</v>
      </c>
      <c r="BZ2" s="3" t="s">
        <v>722</v>
      </c>
      <c r="CA2" s="3" t="s">
        <v>53</v>
      </c>
      <c r="CB2" s="3" t="s">
        <v>723</v>
      </c>
      <c r="CC2" s="3" t="s">
        <v>53</v>
      </c>
      <c r="CD2" s="3" t="s">
        <v>724</v>
      </c>
      <c r="CE2" s="3" t="s">
        <v>53</v>
      </c>
      <c r="CF2" s="3" t="s">
        <v>725</v>
      </c>
      <c r="CG2" s="3" t="s">
        <v>53</v>
      </c>
      <c r="CH2" s="3" t="s">
        <v>230</v>
      </c>
    </row>
    <row r="3" spans="1:86" x14ac:dyDescent="0.55000000000000004">
      <c r="A3" s="3" t="s">
        <v>377</v>
      </c>
      <c r="B3" s="3" t="s">
        <v>378</v>
      </c>
      <c r="C3" s="3" t="s">
        <v>83</v>
      </c>
      <c r="D3" s="3" t="s">
        <v>52</v>
      </c>
      <c r="E3" s="3" t="s">
        <v>75</v>
      </c>
      <c r="F3" s="3" t="s">
        <v>726</v>
      </c>
      <c r="G3" s="3" t="s">
        <v>50</v>
      </c>
      <c r="H3" s="3" t="s">
        <v>55</v>
      </c>
      <c r="I3" s="3" t="s">
        <v>56</v>
      </c>
      <c r="J3" s="3" t="s">
        <v>57</v>
      </c>
      <c r="K3" s="3" t="s">
        <v>74</v>
      </c>
      <c r="L3" s="3" t="s">
        <v>52</v>
      </c>
      <c r="M3" s="3" t="s">
        <v>83</v>
      </c>
      <c r="N3" s="3" t="s">
        <v>84</v>
      </c>
      <c r="O3" s="3" t="s">
        <v>53</v>
      </c>
      <c r="P3" s="3" t="s">
        <v>237</v>
      </c>
      <c r="Q3" s="3" t="s">
        <v>53</v>
      </c>
      <c r="R3" s="3" t="s">
        <v>238</v>
      </c>
      <c r="S3" s="3" t="s">
        <v>53</v>
      </c>
      <c r="T3" s="3" t="s">
        <v>214</v>
      </c>
      <c r="U3" s="3" t="s">
        <v>53</v>
      </c>
      <c r="V3" s="3" t="s">
        <v>200</v>
      </c>
      <c r="W3" s="3" t="s">
        <v>53</v>
      </c>
      <c r="X3" s="3" t="s">
        <v>521</v>
      </c>
      <c r="Y3" s="3" t="s">
        <v>53</v>
      </c>
      <c r="Z3" s="3" t="s">
        <v>422</v>
      </c>
      <c r="AA3" s="3" t="s">
        <v>53</v>
      </c>
      <c r="AB3" s="3" t="s">
        <v>419</v>
      </c>
      <c r="AC3" s="3" t="s">
        <v>53</v>
      </c>
      <c r="AD3" s="3" t="s">
        <v>320</v>
      </c>
      <c r="AE3" s="3" t="s">
        <v>53</v>
      </c>
      <c r="AF3" s="3" t="s">
        <v>727</v>
      </c>
      <c r="AG3" s="3" t="s">
        <v>53</v>
      </c>
      <c r="AH3" s="3" t="s">
        <v>728</v>
      </c>
      <c r="AI3" s="3" t="s">
        <v>53</v>
      </c>
      <c r="AJ3" s="3" t="s">
        <v>729</v>
      </c>
      <c r="AK3" s="3" t="s">
        <v>53</v>
      </c>
      <c r="AL3" s="3" t="s">
        <v>730</v>
      </c>
      <c r="AM3" s="3" t="s">
        <v>53</v>
      </c>
      <c r="AN3" s="3" t="s">
        <v>731</v>
      </c>
      <c r="AO3" s="3" t="s">
        <v>53</v>
      </c>
      <c r="AP3" s="3" t="s">
        <v>328</v>
      </c>
      <c r="AQ3" s="3" t="s">
        <v>53</v>
      </c>
      <c r="AR3" s="3" t="s">
        <v>594</v>
      </c>
      <c r="AS3" s="3" t="s">
        <v>53</v>
      </c>
      <c r="AT3" s="3" t="s">
        <v>258</v>
      </c>
      <c r="AU3" s="3" t="s">
        <v>53</v>
      </c>
      <c r="AV3" s="3" t="s">
        <v>732</v>
      </c>
      <c r="AW3" s="3" t="s">
        <v>53</v>
      </c>
      <c r="AX3" s="3" t="s">
        <v>329</v>
      </c>
      <c r="AY3" s="3" t="s">
        <v>53</v>
      </c>
      <c r="AZ3" s="3" t="s">
        <v>733</v>
      </c>
      <c r="BA3" s="3" t="s">
        <v>53</v>
      </c>
      <c r="BB3" s="3" t="s">
        <v>216</v>
      </c>
      <c r="BC3" s="3" t="s">
        <v>53</v>
      </c>
      <c r="BD3" s="3" t="s">
        <v>209</v>
      </c>
      <c r="BE3" s="3" t="s">
        <v>53</v>
      </c>
      <c r="BF3" s="3" t="s">
        <v>234</v>
      </c>
      <c r="BG3" s="3" t="s">
        <v>53</v>
      </c>
      <c r="BH3" s="3" t="s">
        <v>216</v>
      </c>
      <c r="BI3" s="3" t="s">
        <v>53</v>
      </c>
      <c r="BJ3" s="3" t="s">
        <v>342</v>
      </c>
      <c r="BK3" s="3" t="s">
        <v>53</v>
      </c>
      <c r="BL3" s="3" t="s">
        <v>247</v>
      </c>
      <c r="BM3" s="3" t="s">
        <v>53</v>
      </c>
      <c r="BN3" s="3" t="s">
        <v>297</v>
      </c>
      <c r="BO3" s="3" t="s">
        <v>53</v>
      </c>
      <c r="BP3" s="3" t="s">
        <v>734</v>
      </c>
      <c r="BQ3" s="3" t="s">
        <v>53</v>
      </c>
      <c r="BR3" s="3" t="s">
        <v>623</v>
      </c>
      <c r="BS3" s="3" t="s">
        <v>53</v>
      </c>
      <c r="BT3" s="3" t="s">
        <v>229</v>
      </c>
      <c r="BU3" s="3" t="s">
        <v>53</v>
      </c>
      <c r="BV3" s="3" t="s">
        <v>513</v>
      </c>
      <c r="BW3" s="3" t="s">
        <v>53</v>
      </c>
      <c r="BX3" s="3" t="s">
        <v>594</v>
      </c>
      <c r="BY3" s="3" t="s">
        <v>53</v>
      </c>
      <c r="BZ3" s="3" t="s">
        <v>735</v>
      </c>
      <c r="CA3" s="3" t="s">
        <v>53</v>
      </c>
      <c r="CB3" s="3" t="s">
        <v>380</v>
      </c>
      <c r="CC3" s="3" t="s">
        <v>53</v>
      </c>
      <c r="CD3" s="3" t="s">
        <v>736</v>
      </c>
      <c r="CE3" s="3" t="s">
        <v>53</v>
      </c>
      <c r="CF3" s="3" t="s">
        <v>597</v>
      </c>
      <c r="CG3" s="3" t="s">
        <v>53</v>
      </c>
      <c r="CH3" s="3" t="s">
        <v>526</v>
      </c>
    </row>
    <row r="4" spans="1:86" x14ac:dyDescent="0.55000000000000004">
      <c r="A4" s="3" t="s">
        <v>381</v>
      </c>
      <c r="B4" s="3" t="s">
        <v>382</v>
      </c>
      <c r="C4" s="3" t="s">
        <v>379</v>
      </c>
      <c r="D4" s="3" t="s">
        <v>52</v>
      </c>
      <c r="E4" s="3" t="s">
        <v>75</v>
      </c>
      <c r="F4" s="3" t="s">
        <v>726</v>
      </c>
      <c r="G4" s="3" t="s">
        <v>50</v>
      </c>
      <c r="H4" s="3" t="s">
        <v>55</v>
      </c>
      <c r="I4" s="3" t="s">
        <v>56</v>
      </c>
      <c r="J4" s="3" t="s">
        <v>57</v>
      </c>
      <c r="K4" s="3" t="s">
        <v>74</v>
      </c>
      <c r="L4" s="3" t="s">
        <v>52</v>
      </c>
      <c r="M4" s="3" t="s">
        <v>379</v>
      </c>
      <c r="N4" s="3" t="s">
        <v>67</v>
      </c>
      <c r="O4" s="3"/>
      <c r="P4" s="3"/>
      <c r="Q4" s="3"/>
      <c r="R4" s="3"/>
      <c r="S4" s="3"/>
      <c r="T4" s="3"/>
      <c r="U4" s="3"/>
      <c r="V4" s="3"/>
      <c r="W4" s="3"/>
      <c r="X4" s="3"/>
      <c r="Y4" s="3"/>
      <c r="Z4" s="3"/>
      <c r="AA4" s="3"/>
      <c r="AB4" s="3"/>
      <c r="AC4" s="3"/>
      <c r="AD4" s="3"/>
      <c r="AE4" s="3"/>
      <c r="AF4" s="3"/>
      <c r="AG4" s="3"/>
      <c r="AH4" s="3"/>
      <c r="AI4" s="3"/>
      <c r="AJ4" s="3"/>
      <c r="AK4" s="3"/>
      <c r="AL4" s="3"/>
      <c r="AM4" s="3"/>
      <c r="AN4" s="3"/>
      <c r="AO4" s="3"/>
      <c r="AP4" s="3"/>
      <c r="AQ4" s="3" t="s">
        <v>53</v>
      </c>
      <c r="AR4" s="3" t="s">
        <v>695</v>
      </c>
      <c r="AS4" s="3"/>
      <c r="AT4" s="3"/>
      <c r="AU4" s="3" t="s">
        <v>53</v>
      </c>
      <c r="AV4" s="3" t="s">
        <v>737</v>
      </c>
      <c r="AW4" s="3" t="s">
        <v>53</v>
      </c>
      <c r="AX4" s="3" t="s">
        <v>207</v>
      </c>
      <c r="AY4" s="3" t="s">
        <v>53</v>
      </c>
      <c r="AZ4" s="3" t="s">
        <v>738</v>
      </c>
      <c r="BA4" s="3"/>
      <c r="BB4" s="3"/>
      <c r="BC4" s="3"/>
      <c r="BD4" s="3"/>
      <c r="BE4" s="3"/>
      <c r="BF4" s="3"/>
      <c r="BG4" s="3"/>
      <c r="BH4" s="3"/>
      <c r="BI4" s="3"/>
      <c r="BJ4" s="3"/>
      <c r="BK4" s="3"/>
      <c r="BL4" s="3"/>
      <c r="BM4" s="3"/>
      <c r="BN4" s="3"/>
      <c r="BO4" s="3" t="s">
        <v>53</v>
      </c>
      <c r="BP4" s="3" t="s">
        <v>739</v>
      </c>
      <c r="BQ4" s="3" t="s">
        <v>53</v>
      </c>
      <c r="BR4" s="3" t="s">
        <v>740</v>
      </c>
      <c r="BS4" s="3" t="s">
        <v>53</v>
      </c>
      <c r="BT4" s="3" t="s">
        <v>721</v>
      </c>
      <c r="BU4" s="3"/>
      <c r="BV4" s="3"/>
      <c r="BW4" s="3"/>
      <c r="BX4" s="3"/>
      <c r="BY4" s="3"/>
      <c r="BZ4" s="3"/>
      <c r="CA4" s="3"/>
      <c r="CB4" s="3"/>
      <c r="CC4" s="3"/>
      <c r="CD4" s="3"/>
      <c r="CE4" s="3"/>
      <c r="CF4" s="3"/>
      <c r="CG4" s="3"/>
      <c r="CH4" s="3"/>
    </row>
    <row r="5" spans="1:86" x14ac:dyDescent="0.55000000000000004">
      <c r="A5" s="3" t="s">
        <v>603</v>
      </c>
      <c r="B5" s="3" t="s">
        <v>604</v>
      </c>
      <c r="C5" s="3" t="s">
        <v>51</v>
      </c>
      <c r="D5" s="3" t="s">
        <v>65</v>
      </c>
      <c r="E5" s="3" t="s">
        <v>85</v>
      </c>
      <c r="F5" s="3" t="s">
        <v>741</v>
      </c>
      <c r="G5" s="3" t="s">
        <v>50</v>
      </c>
      <c r="H5" s="3" t="s">
        <v>55</v>
      </c>
      <c r="I5" s="3" t="s">
        <v>56</v>
      </c>
      <c r="J5" s="3" t="s">
        <v>60</v>
      </c>
      <c r="K5" s="3" t="s">
        <v>58</v>
      </c>
      <c r="L5" s="3" t="s">
        <v>65</v>
      </c>
      <c r="M5" s="3" t="s">
        <v>51</v>
      </c>
      <c r="N5" s="3" t="s">
        <v>72</v>
      </c>
      <c r="O5" s="3" t="s">
        <v>53</v>
      </c>
      <c r="P5" s="3" t="s">
        <v>238</v>
      </c>
      <c r="Q5" s="3" t="s">
        <v>53</v>
      </c>
      <c r="R5" s="3" t="s">
        <v>214</v>
      </c>
      <c r="S5" s="3" t="s">
        <v>53</v>
      </c>
      <c r="T5" s="3" t="s">
        <v>200</v>
      </c>
      <c r="U5" s="3" t="s">
        <v>53</v>
      </c>
      <c r="V5" s="3" t="s">
        <v>201</v>
      </c>
      <c r="W5" s="3" t="s">
        <v>53</v>
      </c>
      <c r="X5" s="3" t="s">
        <v>621</v>
      </c>
      <c r="Y5" s="3" t="s">
        <v>53</v>
      </c>
      <c r="Z5" s="3" t="s">
        <v>521</v>
      </c>
      <c r="AA5" s="3" t="s">
        <v>53</v>
      </c>
      <c r="AB5" s="3" t="s">
        <v>272</v>
      </c>
      <c r="AC5" s="3" t="s">
        <v>53</v>
      </c>
      <c r="AD5" s="3" t="s">
        <v>315</v>
      </c>
      <c r="AE5" s="3" t="s">
        <v>53</v>
      </c>
      <c r="AF5" s="3" t="s">
        <v>742</v>
      </c>
      <c r="AG5" s="3" t="s">
        <v>53</v>
      </c>
      <c r="AH5" s="3" t="s">
        <v>743</v>
      </c>
      <c r="AI5" s="3" t="s">
        <v>53</v>
      </c>
      <c r="AJ5" s="3" t="s">
        <v>744</v>
      </c>
      <c r="AK5" s="3" t="s">
        <v>53</v>
      </c>
      <c r="AL5" s="3" t="s">
        <v>745</v>
      </c>
      <c r="AM5" s="3" t="s">
        <v>53</v>
      </c>
      <c r="AN5" s="3" t="s">
        <v>588</v>
      </c>
      <c r="AO5" s="3" t="s">
        <v>53</v>
      </c>
      <c r="AP5" s="3" t="s">
        <v>746</v>
      </c>
      <c r="AQ5" s="3" t="s">
        <v>53</v>
      </c>
      <c r="AR5" s="3" t="s">
        <v>369</v>
      </c>
      <c r="AS5" s="3" t="s">
        <v>53</v>
      </c>
      <c r="AT5" s="3" t="s">
        <v>215</v>
      </c>
      <c r="AU5" s="3" t="s">
        <v>53</v>
      </c>
      <c r="AV5" s="3" t="s">
        <v>747</v>
      </c>
      <c r="AW5" s="3" t="s">
        <v>53</v>
      </c>
      <c r="AX5" s="3" t="s">
        <v>283</v>
      </c>
      <c r="AY5" s="3" t="s">
        <v>53</v>
      </c>
      <c r="AZ5" s="3" t="s">
        <v>748</v>
      </c>
      <c r="BA5" s="3" t="s">
        <v>53</v>
      </c>
      <c r="BB5" s="3" t="s">
        <v>234</v>
      </c>
      <c r="BC5" s="3" t="s">
        <v>53</v>
      </c>
      <c r="BD5" s="3" t="s">
        <v>227</v>
      </c>
      <c r="BE5" s="3" t="s">
        <v>53</v>
      </c>
      <c r="BF5" s="3" t="s">
        <v>216</v>
      </c>
      <c r="BG5" s="3" t="s">
        <v>53</v>
      </c>
      <c r="BH5" s="3" t="s">
        <v>208</v>
      </c>
      <c r="BI5" s="3" t="s">
        <v>53</v>
      </c>
      <c r="BJ5" s="3" t="s">
        <v>318</v>
      </c>
      <c r="BK5" s="3" t="s">
        <v>53</v>
      </c>
      <c r="BL5" s="3" t="s">
        <v>319</v>
      </c>
      <c r="BM5" s="3" t="s">
        <v>53</v>
      </c>
      <c r="BN5" s="3" t="s">
        <v>230</v>
      </c>
      <c r="BO5" s="3" t="s">
        <v>53</v>
      </c>
      <c r="BP5" s="3" t="s">
        <v>749</v>
      </c>
      <c r="BQ5" s="3" t="s">
        <v>53</v>
      </c>
      <c r="BR5" s="3" t="s">
        <v>311</v>
      </c>
      <c r="BS5" s="3" t="s">
        <v>53</v>
      </c>
      <c r="BT5" s="3" t="s">
        <v>374</v>
      </c>
      <c r="BU5" s="3" t="s">
        <v>53</v>
      </c>
      <c r="BV5" s="3" t="s">
        <v>750</v>
      </c>
      <c r="BW5" s="3" t="s">
        <v>53</v>
      </c>
      <c r="BX5" s="3" t="s">
        <v>619</v>
      </c>
      <c r="BY5" s="3" t="s">
        <v>53</v>
      </c>
      <c r="BZ5" s="3" t="s">
        <v>751</v>
      </c>
      <c r="CA5" s="3" t="s">
        <v>53</v>
      </c>
      <c r="CB5" s="3" t="s">
        <v>596</v>
      </c>
      <c r="CC5" s="3" t="s">
        <v>53</v>
      </c>
      <c r="CD5" s="3" t="s">
        <v>421</v>
      </c>
      <c r="CE5" s="3" t="s">
        <v>53</v>
      </c>
      <c r="CF5" s="3" t="s">
        <v>251</v>
      </c>
      <c r="CG5" s="3" t="s">
        <v>53</v>
      </c>
      <c r="CH5" s="3" t="s">
        <v>375</v>
      </c>
    </row>
    <row r="6" spans="1:86" x14ac:dyDescent="0.55000000000000004">
      <c r="A6" s="3" t="s">
        <v>606</v>
      </c>
      <c r="B6" s="3" t="s">
        <v>607</v>
      </c>
      <c r="C6" s="3" t="s">
        <v>76</v>
      </c>
      <c r="D6" s="3" t="s">
        <v>52</v>
      </c>
      <c r="E6" s="3" t="s">
        <v>62</v>
      </c>
      <c r="F6" s="3" t="s">
        <v>710</v>
      </c>
      <c r="G6" s="3" t="s">
        <v>50</v>
      </c>
      <c r="H6" s="3" t="s">
        <v>77</v>
      </c>
      <c r="I6" s="3" t="s">
        <v>56</v>
      </c>
      <c r="J6" s="3" t="s">
        <v>78</v>
      </c>
      <c r="K6" s="3" t="s">
        <v>79</v>
      </c>
      <c r="L6" s="3" t="s">
        <v>52</v>
      </c>
      <c r="M6" s="3" t="s">
        <v>76</v>
      </c>
      <c r="N6" s="3" t="s">
        <v>80</v>
      </c>
      <c r="O6" s="3" t="s">
        <v>53</v>
      </c>
      <c r="P6" s="3" t="s">
        <v>214</v>
      </c>
      <c r="Q6" s="3" t="s">
        <v>53</v>
      </c>
      <c r="R6" s="3" t="s">
        <v>200</v>
      </c>
      <c r="S6" s="3" t="s">
        <v>53</v>
      </c>
      <c r="T6" s="3" t="s">
        <v>201</v>
      </c>
      <c r="U6" s="3" t="s">
        <v>53</v>
      </c>
      <c r="V6" s="3" t="s">
        <v>202</v>
      </c>
      <c r="W6" s="3" t="s">
        <v>53</v>
      </c>
      <c r="X6" s="3" t="s">
        <v>345</v>
      </c>
      <c r="Y6" s="3" t="s">
        <v>53</v>
      </c>
      <c r="Z6" s="3" t="s">
        <v>422</v>
      </c>
      <c r="AA6" s="3" t="s">
        <v>53</v>
      </c>
      <c r="AB6" s="3" t="s">
        <v>423</v>
      </c>
      <c r="AC6" s="3" t="s">
        <v>53</v>
      </c>
      <c r="AD6" s="3" t="s">
        <v>248</v>
      </c>
      <c r="AE6" s="3" t="s">
        <v>53</v>
      </c>
      <c r="AF6" s="3" t="s">
        <v>752</v>
      </c>
      <c r="AG6" s="3" t="s">
        <v>53</v>
      </c>
      <c r="AH6" s="3" t="s">
        <v>753</v>
      </c>
      <c r="AI6" s="3" t="s">
        <v>53</v>
      </c>
      <c r="AJ6" s="3" t="s">
        <v>754</v>
      </c>
      <c r="AK6" s="3" t="s">
        <v>53</v>
      </c>
      <c r="AL6" s="3" t="s">
        <v>755</v>
      </c>
      <c r="AM6" s="3" t="s">
        <v>53</v>
      </c>
      <c r="AN6" s="3" t="s">
        <v>756</v>
      </c>
      <c r="AO6" s="3" t="s">
        <v>53</v>
      </c>
      <c r="AP6" s="3" t="s">
        <v>757</v>
      </c>
      <c r="AQ6" s="3" t="s">
        <v>53</v>
      </c>
      <c r="AR6" s="3" t="s">
        <v>758</v>
      </c>
      <c r="AS6" s="3" t="s">
        <v>53</v>
      </c>
      <c r="AT6" s="3" t="s">
        <v>411</v>
      </c>
      <c r="AU6" s="3" t="s">
        <v>53</v>
      </c>
      <c r="AV6" s="3" t="s">
        <v>759</v>
      </c>
      <c r="AW6" s="3" t="s">
        <v>53</v>
      </c>
      <c r="AX6" s="3" t="s">
        <v>329</v>
      </c>
      <c r="AY6" s="3" t="s">
        <v>53</v>
      </c>
      <c r="AZ6" s="3" t="s">
        <v>760</v>
      </c>
      <c r="BA6" s="3" t="s">
        <v>53</v>
      </c>
      <c r="BB6" s="3" t="s">
        <v>234</v>
      </c>
      <c r="BC6" s="3" t="s">
        <v>53</v>
      </c>
      <c r="BD6" s="3" t="s">
        <v>227</v>
      </c>
      <c r="BE6" s="3" t="s">
        <v>53</v>
      </c>
      <c r="BF6" s="3" t="s">
        <v>234</v>
      </c>
      <c r="BG6" s="3" t="s">
        <v>53</v>
      </c>
      <c r="BH6" s="3" t="s">
        <v>208</v>
      </c>
      <c r="BI6" s="3" t="s">
        <v>53</v>
      </c>
      <c r="BJ6" s="3" t="s">
        <v>340</v>
      </c>
      <c r="BK6" s="3" t="s">
        <v>53</v>
      </c>
      <c r="BL6" s="3" t="s">
        <v>341</v>
      </c>
      <c r="BM6" s="3" t="s">
        <v>53</v>
      </c>
      <c r="BN6" s="3" t="s">
        <v>330</v>
      </c>
      <c r="BO6" s="3" t="s">
        <v>53</v>
      </c>
      <c r="BP6" s="3" t="s">
        <v>761</v>
      </c>
      <c r="BQ6" s="3" t="s">
        <v>53</v>
      </c>
      <c r="BR6" s="3" t="s">
        <v>762</v>
      </c>
      <c r="BS6" s="3" t="s">
        <v>53</v>
      </c>
      <c r="BT6" s="3" t="s">
        <v>236</v>
      </c>
      <c r="BU6" s="3" t="s">
        <v>53</v>
      </c>
      <c r="BV6" s="3" t="s">
        <v>763</v>
      </c>
      <c r="BW6" s="3" t="s">
        <v>53</v>
      </c>
      <c r="BX6" s="3" t="s">
        <v>764</v>
      </c>
      <c r="BY6" s="3" t="s">
        <v>53</v>
      </c>
      <c r="BZ6" s="3" t="s">
        <v>765</v>
      </c>
      <c r="CA6" s="3" t="s">
        <v>53</v>
      </c>
      <c r="CB6" s="3" t="s">
        <v>766</v>
      </c>
      <c r="CC6" s="3" t="s">
        <v>53</v>
      </c>
      <c r="CD6" s="3" t="s">
        <v>767</v>
      </c>
      <c r="CE6" s="3" t="s">
        <v>53</v>
      </c>
      <c r="CF6" s="3" t="s">
        <v>768</v>
      </c>
      <c r="CG6" s="3" t="s">
        <v>53</v>
      </c>
      <c r="CH6" s="3" t="s">
        <v>247</v>
      </c>
    </row>
    <row r="7" spans="1:86" x14ac:dyDescent="0.55000000000000004">
      <c r="A7" s="3" t="s">
        <v>769</v>
      </c>
      <c r="B7" s="3" t="s">
        <v>770</v>
      </c>
      <c r="C7" s="3" t="s">
        <v>379</v>
      </c>
      <c r="D7" s="3" t="s">
        <v>52</v>
      </c>
      <c r="E7" s="3" t="s">
        <v>73</v>
      </c>
      <c r="F7" s="3" t="s">
        <v>771</v>
      </c>
      <c r="G7" s="3" t="s">
        <v>50</v>
      </c>
      <c r="H7" s="3" t="s">
        <v>55</v>
      </c>
      <c r="I7" s="3" t="s">
        <v>56</v>
      </c>
      <c r="J7" s="3" t="s">
        <v>60</v>
      </c>
      <c r="K7" s="3" t="s">
        <v>58</v>
      </c>
      <c r="L7" s="3" t="s">
        <v>52</v>
      </c>
      <c r="M7" s="3" t="s">
        <v>379</v>
      </c>
      <c r="N7" s="3" t="s">
        <v>67</v>
      </c>
      <c r="O7" s="3" t="s">
        <v>53</v>
      </c>
      <c r="P7" s="3" t="s">
        <v>237</v>
      </c>
      <c r="Q7" s="3" t="s">
        <v>53</v>
      </c>
      <c r="R7" s="3" t="s">
        <v>238</v>
      </c>
      <c r="S7" s="3" t="s">
        <v>53</v>
      </c>
      <c r="T7" s="3" t="s">
        <v>214</v>
      </c>
      <c r="U7" s="3" t="s">
        <v>53</v>
      </c>
      <c r="V7" s="3" t="s">
        <v>200</v>
      </c>
      <c r="W7" s="3" t="s">
        <v>53</v>
      </c>
      <c r="X7" s="3" t="s">
        <v>711</v>
      </c>
      <c r="Y7" s="3" t="s">
        <v>53</v>
      </c>
      <c r="Z7" s="3" t="s">
        <v>772</v>
      </c>
      <c r="AA7" s="3" t="s">
        <v>53</v>
      </c>
      <c r="AB7" s="3" t="s">
        <v>597</v>
      </c>
      <c r="AC7" s="3" t="s">
        <v>53</v>
      </c>
      <c r="AD7" s="3" t="s">
        <v>773</v>
      </c>
      <c r="AE7" s="3" t="s">
        <v>53</v>
      </c>
      <c r="AF7" s="3" t="s">
        <v>774</v>
      </c>
      <c r="AG7" s="3" t="s">
        <v>53</v>
      </c>
      <c r="AH7" s="3" t="s">
        <v>775</v>
      </c>
      <c r="AI7" s="3" t="s">
        <v>53</v>
      </c>
      <c r="AJ7" s="3" t="s">
        <v>776</v>
      </c>
      <c r="AK7" s="3" t="s">
        <v>53</v>
      </c>
      <c r="AL7" s="3" t="s">
        <v>777</v>
      </c>
      <c r="AM7" s="3" t="s">
        <v>53</v>
      </c>
      <c r="AN7" s="3" t="s">
        <v>778</v>
      </c>
      <c r="AO7" s="3" t="s">
        <v>53</v>
      </c>
      <c r="AP7" s="3" t="s">
        <v>779</v>
      </c>
      <c r="AQ7" s="3" t="s">
        <v>53</v>
      </c>
      <c r="AR7" s="3" t="s">
        <v>595</v>
      </c>
      <c r="AS7" s="3" t="s">
        <v>53</v>
      </c>
      <c r="AT7" s="3" t="s">
        <v>412</v>
      </c>
      <c r="AU7" s="3" t="s">
        <v>53</v>
      </c>
      <c r="AV7" s="3" t="s">
        <v>353</v>
      </c>
      <c r="AW7" s="3" t="s">
        <v>53</v>
      </c>
      <c r="AX7" s="3" t="s">
        <v>226</v>
      </c>
      <c r="AY7" s="3" t="s">
        <v>53</v>
      </c>
      <c r="AZ7" s="3" t="s">
        <v>780</v>
      </c>
      <c r="BA7" s="3" t="s">
        <v>53</v>
      </c>
      <c r="BB7" s="3" t="s">
        <v>234</v>
      </c>
      <c r="BC7" s="3" t="s">
        <v>53</v>
      </c>
      <c r="BD7" s="3" t="s">
        <v>227</v>
      </c>
      <c r="BE7" s="3" t="s">
        <v>53</v>
      </c>
      <c r="BF7" s="3" t="s">
        <v>259</v>
      </c>
      <c r="BG7" s="3" t="s">
        <v>53</v>
      </c>
      <c r="BH7" s="3" t="s">
        <v>242</v>
      </c>
      <c r="BI7" s="3" t="s">
        <v>53</v>
      </c>
      <c r="BJ7" s="3" t="s">
        <v>331</v>
      </c>
      <c r="BK7" s="3" t="s">
        <v>53</v>
      </c>
      <c r="BL7" s="3" t="s">
        <v>368</v>
      </c>
      <c r="BM7" s="3" t="s">
        <v>53</v>
      </c>
      <c r="BN7" s="3" t="s">
        <v>526</v>
      </c>
      <c r="BO7" s="3" t="s">
        <v>53</v>
      </c>
      <c r="BP7" s="3" t="s">
        <v>781</v>
      </c>
      <c r="BQ7" s="3" t="s">
        <v>53</v>
      </c>
      <c r="BR7" s="3" t="s">
        <v>594</v>
      </c>
      <c r="BS7" s="3" t="s">
        <v>53</v>
      </c>
      <c r="BT7" s="3" t="s">
        <v>391</v>
      </c>
      <c r="BU7" s="3" t="s">
        <v>53</v>
      </c>
      <c r="BV7" s="3" t="s">
        <v>524</v>
      </c>
      <c r="BW7" s="3" t="s">
        <v>53</v>
      </c>
      <c r="BX7" s="3" t="s">
        <v>782</v>
      </c>
      <c r="BY7" s="3" t="s">
        <v>53</v>
      </c>
      <c r="BZ7" s="3" t="s">
        <v>783</v>
      </c>
      <c r="CA7" s="3" t="s">
        <v>53</v>
      </c>
      <c r="CB7" s="3" t="s">
        <v>600</v>
      </c>
      <c r="CC7" s="3" t="s">
        <v>53</v>
      </c>
      <c r="CD7" s="3" t="s">
        <v>287</v>
      </c>
      <c r="CE7" s="3" t="s">
        <v>53</v>
      </c>
      <c r="CF7" s="3" t="s">
        <v>784</v>
      </c>
      <c r="CG7" s="3" t="s">
        <v>53</v>
      </c>
      <c r="CH7" s="3" t="s">
        <v>297</v>
      </c>
    </row>
    <row r="8" spans="1:86" x14ac:dyDescent="0.55000000000000004">
      <c r="A8" s="3" t="s">
        <v>785</v>
      </c>
      <c r="B8" s="3" t="s">
        <v>786</v>
      </c>
      <c r="C8" s="3" t="s">
        <v>379</v>
      </c>
      <c r="D8" s="3" t="s">
        <v>65</v>
      </c>
      <c r="E8" s="3" t="s">
        <v>62</v>
      </c>
      <c r="F8" s="3" t="s">
        <v>726</v>
      </c>
      <c r="G8" s="3" t="s">
        <v>50</v>
      </c>
      <c r="H8" s="3" t="s">
        <v>55</v>
      </c>
      <c r="I8" s="3" t="s">
        <v>56</v>
      </c>
      <c r="J8" s="3" t="s">
        <v>60</v>
      </c>
      <c r="K8" s="3" t="s">
        <v>58</v>
      </c>
      <c r="L8" s="3" t="s">
        <v>65</v>
      </c>
      <c r="M8" s="3" t="s">
        <v>379</v>
      </c>
      <c r="N8" s="3" t="s">
        <v>67</v>
      </c>
      <c r="O8" s="3" t="s">
        <v>53</v>
      </c>
      <c r="P8" s="3" t="s">
        <v>237</v>
      </c>
      <c r="Q8" s="3" t="s">
        <v>53</v>
      </c>
      <c r="R8" s="3" t="s">
        <v>238</v>
      </c>
      <c r="S8" s="3" t="s">
        <v>53</v>
      </c>
      <c r="T8" s="3" t="s">
        <v>214</v>
      </c>
      <c r="U8" s="3" t="s">
        <v>53</v>
      </c>
      <c r="V8" s="3" t="s">
        <v>200</v>
      </c>
      <c r="W8" s="3" t="s">
        <v>53</v>
      </c>
      <c r="X8" s="3" t="s">
        <v>239</v>
      </c>
      <c r="Y8" s="3" t="s">
        <v>53</v>
      </c>
      <c r="Z8" s="3" t="s">
        <v>279</v>
      </c>
      <c r="AA8" s="3" t="s">
        <v>53</v>
      </c>
      <c r="AB8" s="3" t="s">
        <v>325</v>
      </c>
      <c r="AC8" s="3" t="s">
        <v>53</v>
      </c>
      <c r="AD8" s="3" t="s">
        <v>354</v>
      </c>
      <c r="AE8" s="3" t="s">
        <v>53</v>
      </c>
      <c r="AF8" s="3" t="s">
        <v>787</v>
      </c>
      <c r="AG8" s="3" t="s">
        <v>53</v>
      </c>
      <c r="AH8" s="3" t="s">
        <v>788</v>
      </c>
      <c r="AI8" s="3" t="s">
        <v>53</v>
      </c>
      <c r="AJ8" s="3" t="s">
        <v>789</v>
      </c>
      <c r="AK8" s="3" t="s">
        <v>53</v>
      </c>
      <c r="AL8" s="3" t="s">
        <v>790</v>
      </c>
      <c r="AM8" s="3" t="s">
        <v>53</v>
      </c>
      <c r="AN8" s="3" t="s">
        <v>558</v>
      </c>
      <c r="AO8" s="3" t="s">
        <v>53</v>
      </c>
      <c r="AP8" s="3" t="s">
        <v>791</v>
      </c>
      <c r="AQ8" s="3" t="s">
        <v>53</v>
      </c>
      <c r="AR8" s="3" t="s">
        <v>792</v>
      </c>
      <c r="AS8" s="3" t="s">
        <v>53</v>
      </c>
      <c r="AT8" s="3" t="s">
        <v>206</v>
      </c>
      <c r="AU8" s="3" t="s">
        <v>53</v>
      </c>
      <c r="AV8" s="3" t="s">
        <v>793</v>
      </c>
      <c r="AW8" s="3" t="s">
        <v>53</v>
      </c>
      <c r="AX8" s="3" t="s">
        <v>226</v>
      </c>
      <c r="AY8" s="3" t="s">
        <v>53</v>
      </c>
      <c r="AZ8" s="3" t="s">
        <v>794</v>
      </c>
      <c r="BA8" s="3" t="s">
        <v>53</v>
      </c>
      <c r="BB8" s="3" t="s">
        <v>259</v>
      </c>
      <c r="BC8" s="3" t="s">
        <v>53</v>
      </c>
      <c r="BD8" s="3" t="s">
        <v>227</v>
      </c>
      <c r="BE8" s="3" t="s">
        <v>53</v>
      </c>
      <c r="BF8" s="3" t="s">
        <v>259</v>
      </c>
      <c r="BG8" s="3" t="s">
        <v>53</v>
      </c>
      <c r="BH8" s="3" t="s">
        <v>322</v>
      </c>
      <c r="BI8" s="3" t="s">
        <v>53</v>
      </c>
      <c r="BJ8" s="3" t="s">
        <v>229</v>
      </c>
      <c r="BK8" s="3" t="s">
        <v>53</v>
      </c>
      <c r="BL8" s="3" t="s">
        <v>212</v>
      </c>
      <c r="BM8" s="3" t="s">
        <v>53</v>
      </c>
      <c r="BN8" s="3" t="s">
        <v>321</v>
      </c>
      <c r="BO8" s="3" t="s">
        <v>53</v>
      </c>
      <c r="BP8" s="3" t="s">
        <v>795</v>
      </c>
      <c r="BQ8" s="3" t="s">
        <v>53</v>
      </c>
      <c r="BR8" s="3" t="s">
        <v>796</v>
      </c>
      <c r="BS8" s="3" t="s">
        <v>53</v>
      </c>
      <c r="BT8" s="3" t="s">
        <v>300</v>
      </c>
      <c r="BU8" s="3" t="s">
        <v>53</v>
      </c>
      <c r="BV8" s="3" t="s">
        <v>797</v>
      </c>
      <c r="BW8" s="3" t="s">
        <v>53</v>
      </c>
      <c r="BX8" s="3" t="s">
        <v>398</v>
      </c>
      <c r="BY8" s="3" t="s">
        <v>53</v>
      </c>
      <c r="BZ8" s="3" t="s">
        <v>798</v>
      </c>
      <c r="CA8" s="3" t="s">
        <v>53</v>
      </c>
      <c r="CB8" s="3" t="s">
        <v>799</v>
      </c>
      <c r="CC8" s="3" t="s">
        <v>53</v>
      </c>
      <c r="CD8" s="3" t="s">
        <v>328</v>
      </c>
      <c r="CE8" s="3" t="s">
        <v>53</v>
      </c>
      <c r="CF8" s="3" t="s">
        <v>292</v>
      </c>
      <c r="CG8" s="3" t="s">
        <v>53</v>
      </c>
      <c r="CH8" s="3" t="s">
        <v>230</v>
      </c>
    </row>
    <row r="9" spans="1:86" x14ac:dyDescent="0.55000000000000004">
      <c r="A9" s="3" t="s">
        <v>392</v>
      </c>
      <c r="B9" s="3" t="s">
        <v>393</v>
      </c>
      <c r="C9" s="3" t="s">
        <v>51</v>
      </c>
      <c r="D9" s="3" t="s">
        <v>65</v>
      </c>
      <c r="E9" s="3" t="s">
        <v>62</v>
      </c>
      <c r="F9" s="3" t="s">
        <v>726</v>
      </c>
      <c r="G9" s="3" t="s">
        <v>50</v>
      </c>
      <c r="H9" s="3" t="s">
        <v>55</v>
      </c>
      <c r="I9" s="3" t="s">
        <v>56</v>
      </c>
      <c r="J9" s="3" t="s">
        <v>60</v>
      </c>
      <c r="K9" s="3" t="s">
        <v>58</v>
      </c>
      <c r="L9" s="3" t="s">
        <v>65</v>
      </c>
      <c r="M9" s="3" t="s">
        <v>51</v>
      </c>
      <c r="N9" s="3" t="s">
        <v>72</v>
      </c>
      <c r="O9" s="3" t="s">
        <v>53</v>
      </c>
      <c r="P9" s="3" t="s">
        <v>238</v>
      </c>
      <c r="Q9" s="3" t="s">
        <v>53</v>
      </c>
      <c r="R9" s="3" t="s">
        <v>214</v>
      </c>
      <c r="S9" s="3" t="s">
        <v>53</v>
      </c>
      <c r="T9" s="3" t="s">
        <v>200</v>
      </c>
      <c r="U9" s="3" t="s">
        <v>53</v>
      </c>
      <c r="V9" s="3" t="s">
        <v>201</v>
      </c>
      <c r="W9" s="3" t="s">
        <v>53</v>
      </c>
      <c r="X9" s="3" t="s">
        <v>288</v>
      </c>
      <c r="Y9" s="3" t="s">
        <v>53</v>
      </c>
      <c r="Z9" s="3" t="s">
        <v>280</v>
      </c>
      <c r="AA9" s="3" t="s">
        <v>53</v>
      </c>
      <c r="AB9" s="3" t="s">
        <v>359</v>
      </c>
      <c r="AC9" s="3" t="s">
        <v>53</v>
      </c>
      <c r="AD9" s="3" t="s">
        <v>257</v>
      </c>
      <c r="AE9" s="3" t="s">
        <v>53</v>
      </c>
      <c r="AF9" s="3" t="s">
        <v>800</v>
      </c>
      <c r="AG9" s="3" t="s">
        <v>53</v>
      </c>
      <c r="AH9" s="3" t="s">
        <v>801</v>
      </c>
      <c r="AI9" s="3" t="s">
        <v>53</v>
      </c>
      <c r="AJ9" s="3" t="s">
        <v>802</v>
      </c>
      <c r="AK9" s="3" t="s">
        <v>53</v>
      </c>
      <c r="AL9" s="3" t="s">
        <v>803</v>
      </c>
      <c r="AM9" s="3" t="s">
        <v>53</v>
      </c>
      <c r="AN9" s="3" t="s">
        <v>558</v>
      </c>
      <c r="AO9" s="3" t="s">
        <v>53</v>
      </c>
      <c r="AP9" s="3" t="s">
        <v>804</v>
      </c>
      <c r="AQ9" s="3" t="s">
        <v>53</v>
      </c>
      <c r="AR9" s="3" t="s">
        <v>539</v>
      </c>
      <c r="AS9" s="3" t="s">
        <v>53</v>
      </c>
      <c r="AT9" s="3" t="s">
        <v>206</v>
      </c>
      <c r="AU9" s="3" t="s">
        <v>53</v>
      </c>
      <c r="AV9" s="3" t="s">
        <v>719</v>
      </c>
      <c r="AW9" s="3" t="s">
        <v>53</v>
      </c>
      <c r="AX9" s="3" t="s">
        <v>233</v>
      </c>
      <c r="AY9" s="3" t="s">
        <v>53</v>
      </c>
      <c r="AZ9" s="3" t="s">
        <v>593</v>
      </c>
      <c r="BA9" s="3" t="s">
        <v>53</v>
      </c>
      <c r="BB9" s="3" t="s">
        <v>216</v>
      </c>
      <c r="BC9" s="3" t="s">
        <v>53</v>
      </c>
      <c r="BD9" s="3" t="s">
        <v>241</v>
      </c>
      <c r="BE9" s="3" t="s">
        <v>53</v>
      </c>
      <c r="BF9" s="3" t="s">
        <v>208</v>
      </c>
      <c r="BG9" s="3" t="s">
        <v>53</v>
      </c>
      <c r="BH9" s="3" t="s">
        <v>208</v>
      </c>
      <c r="BI9" s="3" t="s">
        <v>53</v>
      </c>
      <c r="BJ9" s="3" t="s">
        <v>340</v>
      </c>
      <c r="BK9" s="3" t="s">
        <v>53</v>
      </c>
      <c r="BL9" s="3" t="s">
        <v>341</v>
      </c>
      <c r="BM9" s="3" t="s">
        <v>53</v>
      </c>
      <c r="BN9" s="3" t="s">
        <v>250</v>
      </c>
      <c r="BO9" s="3" t="s">
        <v>53</v>
      </c>
      <c r="BP9" s="3" t="s">
        <v>555</v>
      </c>
      <c r="BQ9" s="3" t="s">
        <v>53</v>
      </c>
      <c r="BR9" s="3" t="s">
        <v>624</v>
      </c>
      <c r="BS9" s="3" t="s">
        <v>53</v>
      </c>
      <c r="BT9" s="3" t="s">
        <v>260</v>
      </c>
      <c r="BU9" s="3" t="s">
        <v>53</v>
      </c>
      <c r="BV9" s="3" t="s">
        <v>805</v>
      </c>
      <c r="BW9" s="3" t="s">
        <v>53</v>
      </c>
      <c r="BX9" s="3" t="s">
        <v>806</v>
      </c>
      <c r="BY9" s="3" t="s">
        <v>53</v>
      </c>
      <c r="BZ9" s="3" t="s">
        <v>528</v>
      </c>
      <c r="CA9" s="3" t="s">
        <v>53</v>
      </c>
      <c r="CB9" s="3" t="s">
        <v>545</v>
      </c>
      <c r="CC9" s="3" t="s">
        <v>53</v>
      </c>
      <c r="CD9" s="3" t="s">
        <v>299</v>
      </c>
      <c r="CE9" s="3" t="s">
        <v>53</v>
      </c>
      <c r="CF9" s="3" t="s">
        <v>521</v>
      </c>
      <c r="CG9" s="3" t="s">
        <v>53</v>
      </c>
      <c r="CH9" s="3" t="s">
        <v>212</v>
      </c>
    </row>
    <row r="10" spans="1:86" x14ac:dyDescent="0.55000000000000004">
      <c r="A10" s="3" t="s">
        <v>579</v>
      </c>
      <c r="B10" s="3" t="s">
        <v>580</v>
      </c>
      <c r="C10" s="3" t="s">
        <v>68</v>
      </c>
      <c r="D10" s="3" t="s">
        <v>52</v>
      </c>
      <c r="E10" s="3" t="s">
        <v>581</v>
      </c>
      <c r="F10" s="3" t="s">
        <v>710</v>
      </c>
      <c r="G10" s="3" t="s">
        <v>50</v>
      </c>
      <c r="H10" s="3" t="s">
        <v>55</v>
      </c>
      <c r="I10" s="3" t="s">
        <v>56</v>
      </c>
      <c r="J10" s="3" t="s">
        <v>57</v>
      </c>
      <c r="K10" s="3" t="s">
        <v>74</v>
      </c>
      <c r="L10" s="3" t="s">
        <v>52</v>
      </c>
      <c r="M10" s="3" t="s">
        <v>68</v>
      </c>
      <c r="N10" s="3" t="s">
        <v>69</v>
      </c>
      <c r="O10" s="3" t="s">
        <v>53</v>
      </c>
      <c r="P10" s="3" t="s">
        <v>238</v>
      </c>
      <c r="Q10" s="3" t="s">
        <v>53</v>
      </c>
      <c r="R10" s="3" t="s">
        <v>214</v>
      </c>
      <c r="S10" s="3" t="s">
        <v>53</v>
      </c>
      <c r="T10" s="3" t="s">
        <v>200</v>
      </c>
      <c r="U10" s="3" t="s">
        <v>53</v>
      </c>
      <c r="V10" s="3" t="s">
        <v>201</v>
      </c>
      <c r="W10" s="3" t="s">
        <v>53</v>
      </c>
      <c r="X10" s="3" t="s">
        <v>251</v>
      </c>
      <c r="Y10" s="3" t="s">
        <v>53</v>
      </c>
      <c r="Z10" s="3" t="s">
        <v>292</v>
      </c>
      <c r="AA10" s="3" t="s">
        <v>53</v>
      </c>
      <c r="AB10" s="3" t="s">
        <v>371</v>
      </c>
      <c r="AC10" s="3" t="s">
        <v>53</v>
      </c>
      <c r="AD10" s="3" t="s">
        <v>286</v>
      </c>
      <c r="AE10" s="3" t="s">
        <v>53</v>
      </c>
      <c r="AF10" s="3" t="s">
        <v>807</v>
      </c>
      <c r="AG10" s="3" t="s">
        <v>53</v>
      </c>
      <c r="AH10" s="3" t="s">
        <v>808</v>
      </c>
      <c r="AI10" s="3" t="s">
        <v>53</v>
      </c>
      <c r="AJ10" s="3" t="s">
        <v>809</v>
      </c>
      <c r="AK10" s="3" t="s">
        <v>53</v>
      </c>
      <c r="AL10" s="3" t="s">
        <v>810</v>
      </c>
      <c r="AM10" s="3" t="s">
        <v>53</v>
      </c>
      <c r="AN10" s="3" t="s">
        <v>811</v>
      </c>
      <c r="AO10" s="3" t="s">
        <v>53</v>
      </c>
      <c r="AP10" s="3" t="s">
        <v>812</v>
      </c>
      <c r="AQ10" s="3" t="s">
        <v>53</v>
      </c>
      <c r="AR10" s="3" t="s">
        <v>813</v>
      </c>
      <c r="AS10" s="3" t="s">
        <v>53</v>
      </c>
      <c r="AT10" s="3" t="s">
        <v>299</v>
      </c>
      <c r="AU10" s="3" t="s">
        <v>53</v>
      </c>
      <c r="AV10" s="3" t="s">
        <v>814</v>
      </c>
      <c r="AW10" s="3" t="s">
        <v>53</v>
      </c>
      <c r="AX10" s="3" t="s">
        <v>233</v>
      </c>
      <c r="AY10" s="3" t="s">
        <v>53</v>
      </c>
      <c r="AZ10" s="3" t="s">
        <v>815</v>
      </c>
      <c r="BA10" s="3" t="s">
        <v>53</v>
      </c>
      <c r="BB10" s="3" t="s">
        <v>208</v>
      </c>
      <c r="BC10" s="3" t="s">
        <v>53</v>
      </c>
      <c r="BD10" s="3" t="s">
        <v>227</v>
      </c>
      <c r="BE10" s="3" t="s">
        <v>53</v>
      </c>
      <c r="BF10" s="3" t="s">
        <v>241</v>
      </c>
      <c r="BG10" s="3" t="s">
        <v>53</v>
      </c>
      <c r="BH10" s="3" t="s">
        <v>241</v>
      </c>
      <c r="BI10" s="3" t="s">
        <v>53</v>
      </c>
      <c r="BJ10" s="3" t="s">
        <v>586</v>
      </c>
      <c r="BK10" s="3" t="s">
        <v>53</v>
      </c>
      <c r="BL10" s="3" t="s">
        <v>268</v>
      </c>
      <c r="BM10" s="3" t="s">
        <v>53</v>
      </c>
      <c r="BN10" s="3" t="s">
        <v>250</v>
      </c>
      <c r="BO10" s="3" t="s">
        <v>53</v>
      </c>
      <c r="BP10" s="3" t="s">
        <v>816</v>
      </c>
      <c r="BQ10" s="3" t="s">
        <v>53</v>
      </c>
      <c r="BR10" s="3" t="s">
        <v>646</v>
      </c>
      <c r="BS10" s="3" t="s">
        <v>53</v>
      </c>
      <c r="BT10" s="3" t="s">
        <v>229</v>
      </c>
      <c r="BU10" s="3" t="s">
        <v>53</v>
      </c>
      <c r="BV10" s="3" t="s">
        <v>417</v>
      </c>
      <c r="BW10" s="3" t="s">
        <v>53</v>
      </c>
      <c r="BX10" s="3" t="s">
        <v>539</v>
      </c>
      <c r="BY10" s="3" t="s">
        <v>53</v>
      </c>
      <c r="BZ10" s="3" t="s">
        <v>817</v>
      </c>
      <c r="CA10" s="3" t="s">
        <v>53</v>
      </c>
      <c r="CB10" s="3" t="s">
        <v>587</v>
      </c>
      <c r="CC10" s="3" t="s">
        <v>53</v>
      </c>
      <c r="CD10" s="3" t="s">
        <v>512</v>
      </c>
      <c r="CE10" s="3" t="s">
        <v>53</v>
      </c>
      <c r="CF10" s="3" t="s">
        <v>222</v>
      </c>
      <c r="CG10" s="3" t="s">
        <v>53</v>
      </c>
      <c r="CH10" s="3" t="s">
        <v>368</v>
      </c>
    </row>
    <row r="11" spans="1:86" x14ac:dyDescent="0.55000000000000004">
      <c r="A11" s="3" t="s">
        <v>615</v>
      </c>
      <c r="B11" s="3" t="s">
        <v>616</v>
      </c>
      <c r="C11" s="3" t="s">
        <v>379</v>
      </c>
      <c r="D11" s="3" t="s">
        <v>65</v>
      </c>
      <c r="E11" s="3" t="s">
        <v>396</v>
      </c>
      <c r="F11" s="3" t="s">
        <v>710</v>
      </c>
      <c r="G11" s="3" t="s">
        <v>50</v>
      </c>
      <c r="H11" s="3" t="s">
        <v>55</v>
      </c>
      <c r="I11" s="3" t="s">
        <v>56</v>
      </c>
      <c r="J11" s="3" t="s">
        <v>57</v>
      </c>
      <c r="K11" s="3" t="s">
        <v>74</v>
      </c>
      <c r="L11" s="3" t="s">
        <v>65</v>
      </c>
      <c r="M11" s="3" t="s">
        <v>379</v>
      </c>
      <c r="N11" s="3" t="s">
        <v>84</v>
      </c>
      <c r="O11" s="3" t="s">
        <v>53</v>
      </c>
      <c r="P11" s="3" t="s">
        <v>237</v>
      </c>
      <c r="Q11" s="3" t="s">
        <v>53</v>
      </c>
      <c r="R11" s="3" t="s">
        <v>238</v>
      </c>
      <c r="S11" s="3" t="s">
        <v>53</v>
      </c>
      <c r="T11" s="3" t="s">
        <v>214</v>
      </c>
      <c r="U11" s="3" t="s">
        <v>53</v>
      </c>
      <c r="V11" s="3" t="s">
        <v>200</v>
      </c>
      <c r="W11" s="3" t="s">
        <v>53</v>
      </c>
      <c r="X11" s="3" t="s">
        <v>231</v>
      </c>
      <c r="Y11" s="3" t="s">
        <v>53</v>
      </c>
      <c r="Z11" s="3" t="s">
        <v>265</v>
      </c>
      <c r="AA11" s="3" t="s">
        <v>53</v>
      </c>
      <c r="AB11" s="3" t="s">
        <v>205</v>
      </c>
      <c r="AC11" s="3" t="s">
        <v>53</v>
      </c>
      <c r="AD11" s="3" t="s">
        <v>256</v>
      </c>
      <c r="AE11" s="3" t="s">
        <v>53</v>
      </c>
      <c r="AF11" s="3" t="s">
        <v>818</v>
      </c>
      <c r="AG11" s="3" t="s">
        <v>53</v>
      </c>
      <c r="AH11" s="3" t="s">
        <v>819</v>
      </c>
      <c r="AI11" s="3" t="s">
        <v>53</v>
      </c>
      <c r="AJ11" s="3" t="s">
        <v>820</v>
      </c>
      <c r="AK11" s="3" t="s">
        <v>53</v>
      </c>
      <c r="AL11" s="3" t="s">
        <v>821</v>
      </c>
      <c r="AM11" s="3" t="s">
        <v>53</v>
      </c>
      <c r="AN11" s="3" t="s">
        <v>632</v>
      </c>
      <c r="AO11" s="3" t="s">
        <v>53</v>
      </c>
      <c r="AP11" s="3" t="s">
        <v>822</v>
      </c>
      <c r="AQ11" s="3" t="s">
        <v>53</v>
      </c>
      <c r="AR11" s="3" t="s">
        <v>823</v>
      </c>
      <c r="AS11" s="3" t="s">
        <v>53</v>
      </c>
      <c r="AT11" s="3" t="s">
        <v>225</v>
      </c>
      <c r="AU11" s="3" t="s">
        <v>53</v>
      </c>
      <c r="AV11" s="3" t="s">
        <v>824</v>
      </c>
      <c r="AW11" s="3" t="s">
        <v>53</v>
      </c>
      <c r="AX11" s="3" t="s">
        <v>613</v>
      </c>
      <c r="AY11" s="3" t="s">
        <v>53</v>
      </c>
      <c r="AZ11" s="3" t="s">
        <v>825</v>
      </c>
      <c r="BA11" s="3" t="s">
        <v>53</v>
      </c>
      <c r="BB11" s="3" t="s">
        <v>234</v>
      </c>
      <c r="BC11" s="3" t="s">
        <v>53</v>
      </c>
      <c r="BD11" s="3" t="s">
        <v>227</v>
      </c>
      <c r="BE11" s="3" t="s">
        <v>53</v>
      </c>
      <c r="BF11" s="3" t="s">
        <v>259</v>
      </c>
      <c r="BG11" s="3" t="s">
        <v>53</v>
      </c>
      <c r="BH11" s="3" t="s">
        <v>253</v>
      </c>
      <c r="BI11" s="3" t="s">
        <v>53</v>
      </c>
      <c r="BJ11" s="3" t="s">
        <v>217</v>
      </c>
      <c r="BK11" s="3" t="s">
        <v>53</v>
      </c>
      <c r="BL11" s="3" t="s">
        <v>218</v>
      </c>
      <c r="BM11" s="3" t="s">
        <v>53</v>
      </c>
      <c r="BN11" s="3" t="s">
        <v>247</v>
      </c>
      <c r="BO11" s="3" t="s">
        <v>53</v>
      </c>
      <c r="BP11" s="3" t="s">
        <v>826</v>
      </c>
      <c r="BQ11" s="3" t="s">
        <v>53</v>
      </c>
      <c r="BR11" s="3" t="s">
        <v>805</v>
      </c>
      <c r="BS11" s="3" t="s">
        <v>53</v>
      </c>
      <c r="BT11" s="3" t="s">
        <v>229</v>
      </c>
      <c r="BU11" s="3" t="s">
        <v>53</v>
      </c>
      <c r="BV11" s="3" t="s">
        <v>670</v>
      </c>
      <c r="BW11" s="3" t="s">
        <v>53</v>
      </c>
      <c r="BX11" s="3" t="s">
        <v>514</v>
      </c>
      <c r="BY11" s="3" t="s">
        <v>53</v>
      </c>
      <c r="BZ11" s="3" t="s">
        <v>827</v>
      </c>
      <c r="CA11" s="3" t="s">
        <v>53</v>
      </c>
      <c r="CB11" s="3" t="s">
        <v>277</v>
      </c>
      <c r="CC11" s="3" t="s">
        <v>53</v>
      </c>
      <c r="CD11" s="3" t="s">
        <v>554</v>
      </c>
      <c r="CE11" s="3" t="s">
        <v>53</v>
      </c>
      <c r="CF11" s="3" t="s">
        <v>407</v>
      </c>
      <c r="CG11" s="3" t="s">
        <v>53</v>
      </c>
      <c r="CH11" s="3" t="s">
        <v>262</v>
      </c>
    </row>
    <row r="12" spans="1:86" x14ac:dyDescent="0.55000000000000004">
      <c r="A12" s="3" t="s">
        <v>70</v>
      </c>
      <c r="B12" s="3" t="s">
        <v>71</v>
      </c>
      <c r="C12" s="3" t="s">
        <v>61</v>
      </c>
      <c r="D12" s="3" t="s">
        <v>52</v>
      </c>
      <c r="E12" s="3" t="s">
        <v>62</v>
      </c>
      <c r="F12" s="3" t="s">
        <v>741</v>
      </c>
      <c r="G12" s="3" t="s">
        <v>50</v>
      </c>
      <c r="H12" s="3" t="s">
        <v>55</v>
      </c>
      <c r="I12" s="3" t="s">
        <v>56</v>
      </c>
      <c r="J12" s="3" t="s">
        <v>57</v>
      </c>
      <c r="K12" s="3" t="s">
        <v>74</v>
      </c>
      <c r="L12" s="3" t="s">
        <v>52</v>
      </c>
      <c r="M12" s="3" t="s">
        <v>61</v>
      </c>
      <c r="N12" s="3" t="s">
        <v>59</v>
      </c>
      <c r="O12" s="3" t="s">
        <v>53</v>
      </c>
      <c r="P12" s="3" t="s">
        <v>214</v>
      </c>
      <c r="Q12" s="3" t="s">
        <v>53</v>
      </c>
      <c r="R12" s="3" t="s">
        <v>237</v>
      </c>
      <c r="S12" s="3" t="s">
        <v>53</v>
      </c>
      <c r="T12" s="3" t="s">
        <v>390</v>
      </c>
      <c r="U12" s="3" t="s">
        <v>53</v>
      </c>
      <c r="V12" s="3" t="s">
        <v>390</v>
      </c>
      <c r="W12" s="3" t="s">
        <v>53</v>
      </c>
      <c r="X12" s="3" t="s">
        <v>280</v>
      </c>
      <c r="Y12" s="3" t="s">
        <v>53</v>
      </c>
      <c r="Z12" s="3" t="s">
        <v>248</v>
      </c>
      <c r="AA12" s="3" t="s">
        <v>53</v>
      </c>
      <c r="AB12" s="3" t="s">
        <v>315</v>
      </c>
      <c r="AC12" s="3" t="s">
        <v>53</v>
      </c>
      <c r="AD12" s="3" t="s">
        <v>339</v>
      </c>
      <c r="AE12" s="3" t="s">
        <v>53</v>
      </c>
      <c r="AF12" s="3" t="s">
        <v>828</v>
      </c>
      <c r="AG12" s="3" t="s">
        <v>53</v>
      </c>
      <c r="AH12" s="3" t="s">
        <v>829</v>
      </c>
      <c r="AI12" s="3" t="s">
        <v>53</v>
      </c>
      <c r="AJ12" s="3" t="s">
        <v>830</v>
      </c>
      <c r="AK12" s="3" t="s">
        <v>53</v>
      </c>
      <c r="AL12" s="3" t="s">
        <v>831</v>
      </c>
      <c r="AM12" s="3" t="s">
        <v>53</v>
      </c>
      <c r="AN12" s="3" t="s">
        <v>617</v>
      </c>
      <c r="AO12" s="3" t="s">
        <v>53</v>
      </c>
      <c r="AP12" s="3" t="s">
        <v>700</v>
      </c>
      <c r="AQ12" s="3" t="s">
        <v>53</v>
      </c>
      <c r="AR12" s="3" t="s">
        <v>408</v>
      </c>
      <c r="AS12" s="3" t="s">
        <v>53</v>
      </c>
      <c r="AT12" s="3" t="s">
        <v>206</v>
      </c>
      <c r="AU12" s="3" t="s">
        <v>53</v>
      </c>
      <c r="AV12" s="3" t="s">
        <v>832</v>
      </c>
      <c r="AW12" s="3" t="s">
        <v>53</v>
      </c>
      <c r="AX12" s="3" t="s">
        <v>402</v>
      </c>
      <c r="AY12" s="3" t="s">
        <v>53</v>
      </c>
      <c r="AZ12" s="3" t="s">
        <v>833</v>
      </c>
      <c r="BA12" s="3" t="s">
        <v>53</v>
      </c>
      <c r="BB12" s="3" t="s">
        <v>242</v>
      </c>
      <c r="BC12" s="3" t="s">
        <v>53</v>
      </c>
      <c r="BD12" s="3" t="s">
        <v>227</v>
      </c>
      <c r="BE12" s="3" t="s">
        <v>53</v>
      </c>
      <c r="BF12" s="3" t="s">
        <v>234</v>
      </c>
      <c r="BG12" s="3" t="s">
        <v>53</v>
      </c>
      <c r="BH12" s="3" t="s">
        <v>259</v>
      </c>
      <c r="BI12" s="3" t="s">
        <v>53</v>
      </c>
      <c r="BJ12" s="3" t="s">
        <v>331</v>
      </c>
      <c r="BK12" s="3" t="s">
        <v>53</v>
      </c>
      <c r="BL12" s="3" t="s">
        <v>368</v>
      </c>
      <c r="BM12" s="3" t="s">
        <v>53</v>
      </c>
      <c r="BN12" s="3" t="s">
        <v>250</v>
      </c>
      <c r="BO12" s="3" t="s">
        <v>53</v>
      </c>
      <c r="BP12" s="3" t="s">
        <v>834</v>
      </c>
      <c r="BQ12" s="3" t="s">
        <v>53</v>
      </c>
      <c r="BR12" s="3" t="s">
        <v>835</v>
      </c>
      <c r="BS12" s="3" t="s">
        <v>53</v>
      </c>
      <c r="BT12" s="3" t="s">
        <v>229</v>
      </c>
      <c r="BU12" s="3" t="s">
        <v>53</v>
      </c>
      <c r="BV12" s="3" t="s">
        <v>672</v>
      </c>
      <c r="BW12" s="3" t="s">
        <v>53</v>
      </c>
      <c r="BX12" s="3" t="s">
        <v>612</v>
      </c>
      <c r="BY12" s="3" t="s">
        <v>53</v>
      </c>
      <c r="BZ12" s="3" t="s">
        <v>836</v>
      </c>
      <c r="CA12" s="3" t="s">
        <v>53</v>
      </c>
      <c r="CB12" s="3" t="s">
        <v>796</v>
      </c>
      <c r="CC12" s="3" t="s">
        <v>53</v>
      </c>
      <c r="CD12" s="3" t="s">
        <v>804</v>
      </c>
      <c r="CE12" s="3" t="s">
        <v>53</v>
      </c>
      <c r="CF12" s="3" t="s">
        <v>605</v>
      </c>
      <c r="CG12" s="3" t="s">
        <v>53</v>
      </c>
      <c r="CH12" s="3" t="s">
        <v>230</v>
      </c>
    </row>
    <row r="13" spans="1:86" x14ac:dyDescent="0.55000000000000004">
      <c r="A13" s="3" t="s">
        <v>837</v>
      </c>
      <c r="B13" s="3" t="s">
        <v>838</v>
      </c>
      <c r="C13" s="3" t="s">
        <v>379</v>
      </c>
      <c r="D13" s="3" t="s">
        <v>52</v>
      </c>
      <c r="E13" s="3" t="s">
        <v>73</v>
      </c>
      <c r="F13" s="3" t="s">
        <v>839</v>
      </c>
      <c r="G13" s="3" t="s">
        <v>50</v>
      </c>
      <c r="H13" s="3" t="s">
        <v>55</v>
      </c>
      <c r="I13" s="3" t="s">
        <v>56</v>
      </c>
      <c r="J13" s="3" t="s">
        <v>57</v>
      </c>
      <c r="K13" s="3" t="s">
        <v>74</v>
      </c>
      <c r="L13" s="3" t="s">
        <v>52</v>
      </c>
      <c r="M13" s="3" t="s">
        <v>379</v>
      </c>
      <c r="N13" s="3" t="s">
        <v>84</v>
      </c>
      <c r="O13" s="3" t="s">
        <v>53</v>
      </c>
      <c r="P13" s="3" t="s">
        <v>237</v>
      </c>
      <c r="Q13" s="3" t="s">
        <v>53</v>
      </c>
      <c r="R13" s="3" t="s">
        <v>238</v>
      </c>
      <c r="S13" s="3" t="s">
        <v>53</v>
      </c>
      <c r="T13" s="3" t="s">
        <v>214</v>
      </c>
      <c r="U13" s="3" t="s">
        <v>53</v>
      </c>
      <c r="V13" s="3" t="s">
        <v>200</v>
      </c>
      <c r="W13" s="3" t="s">
        <v>53</v>
      </c>
      <c r="X13" s="3" t="s">
        <v>544</v>
      </c>
      <c r="Y13" s="3" t="s">
        <v>53</v>
      </c>
      <c r="Z13" s="3" t="s">
        <v>419</v>
      </c>
      <c r="AA13" s="3" t="s">
        <v>53</v>
      </c>
      <c r="AB13" s="3" t="s">
        <v>239</v>
      </c>
      <c r="AC13" s="3" t="s">
        <v>53</v>
      </c>
      <c r="AD13" s="3" t="s">
        <v>204</v>
      </c>
      <c r="AE13" s="3" t="s">
        <v>53</v>
      </c>
      <c r="AF13" s="3" t="s">
        <v>840</v>
      </c>
      <c r="AG13" s="3" t="s">
        <v>53</v>
      </c>
      <c r="AH13" s="3" t="s">
        <v>841</v>
      </c>
      <c r="AI13" s="3" t="s">
        <v>53</v>
      </c>
      <c r="AJ13" s="3" t="s">
        <v>842</v>
      </c>
      <c r="AK13" s="3" t="s">
        <v>53</v>
      </c>
      <c r="AL13" s="3" t="s">
        <v>843</v>
      </c>
      <c r="AM13" s="3" t="s">
        <v>53</v>
      </c>
      <c r="AN13" s="3" t="s">
        <v>844</v>
      </c>
      <c r="AO13" s="3" t="s">
        <v>53</v>
      </c>
      <c r="AP13" s="3" t="s">
        <v>215</v>
      </c>
      <c r="AQ13" s="3" t="s">
        <v>53</v>
      </c>
      <c r="AR13" s="3" t="s">
        <v>369</v>
      </c>
      <c r="AS13" s="3" t="s">
        <v>53</v>
      </c>
      <c r="AT13" s="3" t="s">
        <v>328</v>
      </c>
      <c r="AU13" s="3" t="s">
        <v>53</v>
      </c>
      <c r="AV13" s="3" t="s">
        <v>845</v>
      </c>
      <c r="AW13" s="3" t="s">
        <v>53</v>
      </c>
      <c r="AX13" s="3" t="s">
        <v>329</v>
      </c>
      <c r="AY13" s="3" t="s">
        <v>53</v>
      </c>
      <c r="AZ13" s="3" t="s">
        <v>846</v>
      </c>
      <c r="BA13" s="3" t="s">
        <v>53</v>
      </c>
      <c r="BB13" s="3" t="s">
        <v>216</v>
      </c>
      <c r="BC13" s="3" t="s">
        <v>53</v>
      </c>
      <c r="BD13" s="3" t="s">
        <v>216</v>
      </c>
      <c r="BE13" s="3" t="s">
        <v>53</v>
      </c>
      <c r="BF13" s="3" t="s">
        <v>322</v>
      </c>
      <c r="BG13" s="3" t="s">
        <v>53</v>
      </c>
      <c r="BH13" s="3" t="s">
        <v>259</v>
      </c>
      <c r="BI13" s="3" t="s">
        <v>53</v>
      </c>
      <c r="BJ13" s="3" t="s">
        <v>391</v>
      </c>
      <c r="BK13" s="3" t="s">
        <v>53</v>
      </c>
      <c r="BL13" s="3" t="s">
        <v>633</v>
      </c>
      <c r="BM13" s="3" t="s">
        <v>53</v>
      </c>
      <c r="BN13" s="3" t="s">
        <v>249</v>
      </c>
      <c r="BO13" s="3" t="s">
        <v>53</v>
      </c>
      <c r="BP13" s="3" t="s">
        <v>847</v>
      </c>
      <c r="BQ13" s="3" t="s">
        <v>53</v>
      </c>
      <c r="BR13" s="3" t="s">
        <v>654</v>
      </c>
      <c r="BS13" s="3" t="s">
        <v>53</v>
      </c>
      <c r="BT13" s="3" t="s">
        <v>229</v>
      </c>
      <c r="BU13" s="3" t="s">
        <v>53</v>
      </c>
      <c r="BV13" s="3" t="s">
        <v>848</v>
      </c>
      <c r="BW13" s="3" t="s">
        <v>53</v>
      </c>
      <c r="BX13" s="3" t="s">
        <v>564</v>
      </c>
      <c r="BY13" s="3" t="s">
        <v>53</v>
      </c>
      <c r="BZ13" s="3" t="s">
        <v>849</v>
      </c>
      <c r="CA13" s="3" t="s">
        <v>53</v>
      </c>
      <c r="CB13" s="3" t="s">
        <v>850</v>
      </c>
      <c r="CC13" s="3" t="s">
        <v>53</v>
      </c>
      <c r="CD13" s="3" t="s">
        <v>389</v>
      </c>
      <c r="CE13" s="3" t="s">
        <v>53</v>
      </c>
      <c r="CF13" s="3" t="s">
        <v>550</v>
      </c>
      <c r="CG13" s="3" t="s">
        <v>53</v>
      </c>
      <c r="CH13" s="3" t="s">
        <v>297</v>
      </c>
    </row>
    <row r="14" spans="1:86" x14ac:dyDescent="0.55000000000000004">
      <c r="A14" s="3" t="s">
        <v>851</v>
      </c>
      <c r="B14" s="3" t="s">
        <v>852</v>
      </c>
      <c r="C14" s="3" t="s">
        <v>61</v>
      </c>
      <c r="D14" s="3" t="s">
        <v>52</v>
      </c>
      <c r="E14" s="3" t="s">
        <v>853</v>
      </c>
      <c r="F14" s="3" t="s">
        <v>839</v>
      </c>
      <c r="G14" s="3" t="s">
        <v>50</v>
      </c>
      <c r="H14" s="3" t="s">
        <v>55</v>
      </c>
      <c r="I14" s="3" t="s">
        <v>56</v>
      </c>
      <c r="J14" s="3" t="s">
        <v>57</v>
      </c>
      <c r="K14" s="3" t="s">
        <v>74</v>
      </c>
      <c r="L14" s="3" t="s">
        <v>52</v>
      </c>
      <c r="M14" s="3" t="s">
        <v>61</v>
      </c>
      <c r="N14" s="3" t="s">
        <v>59</v>
      </c>
      <c r="O14" s="3" t="s">
        <v>53</v>
      </c>
      <c r="P14" s="3" t="s">
        <v>214</v>
      </c>
      <c r="Q14" s="3" t="s">
        <v>53</v>
      </c>
      <c r="R14" s="3" t="s">
        <v>200</v>
      </c>
      <c r="S14" s="3" t="s">
        <v>53</v>
      </c>
      <c r="T14" s="3" t="s">
        <v>201</v>
      </c>
      <c r="U14" s="3" t="s">
        <v>53</v>
      </c>
      <c r="V14" s="3" t="s">
        <v>202</v>
      </c>
      <c r="W14" s="3" t="s">
        <v>53</v>
      </c>
      <c r="X14" s="3" t="s">
        <v>296</v>
      </c>
      <c r="Y14" s="3" t="s">
        <v>53</v>
      </c>
      <c r="Z14" s="3" t="s">
        <v>231</v>
      </c>
      <c r="AA14" s="3" t="s">
        <v>53</v>
      </c>
      <c r="AB14" s="3" t="s">
        <v>223</v>
      </c>
      <c r="AC14" s="3" t="s">
        <v>53</v>
      </c>
      <c r="AD14" s="3" t="s">
        <v>252</v>
      </c>
      <c r="AE14" s="3" t="s">
        <v>53</v>
      </c>
      <c r="AF14" s="3" t="s">
        <v>854</v>
      </c>
      <c r="AG14" s="3" t="s">
        <v>53</v>
      </c>
      <c r="AH14" s="3" t="s">
        <v>855</v>
      </c>
      <c r="AI14" s="3" t="s">
        <v>53</v>
      </c>
      <c r="AJ14" s="3" t="s">
        <v>856</v>
      </c>
      <c r="AK14" s="3" t="s">
        <v>53</v>
      </c>
      <c r="AL14" s="3" t="s">
        <v>648</v>
      </c>
      <c r="AM14" s="3" t="s">
        <v>53</v>
      </c>
      <c r="AN14" s="3" t="s">
        <v>397</v>
      </c>
      <c r="AO14" s="3" t="s">
        <v>53</v>
      </c>
      <c r="AP14" s="3" t="s">
        <v>652</v>
      </c>
      <c r="AQ14" s="3" t="s">
        <v>53</v>
      </c>
      <c r="AR14" s="3" t="s">
        <v>316</v>
      </c>
      <c r="AS14" s="3" t="s">
        <v>53</v>
      </c>
      <c r="AT14" s="3" t="s">
        <v>299</v>
      </c>
      <c r="AU14" s="3" t="s">
        <v>53</v>
      </c>
      <c r="AV14" s="3" t="s">
        <v>857</v>
      </c>
      <c r="AW14" s="3" t="s">
        <v>53</v>
      </c>
      <c r="AX14" s="3" t="s">
        <v>295</v>
      </c>
      <c r="AY14" s="3" t="s">
        <v>53</v>
      </c>
      <c r="AZ14" s="3" t="s">
        <v>706</v>
      </c>
      <c r="BA14" s="3" t="s">
        <v>53</v>
      </c>
      <c r="BB14" s="3" t="s">
        <v>208</v>
      </c>
      <c r="BC14" s="3" t="s">
        <v>53</v>
      </c>
      <c r="BD14" s="3" t="s">
        <v>227</v>
      </c>
      <c r="BE14" s="3" t="s">
        <v>53</v>
      </c>
      <c r="BF14" s="3" t="s">
        <v>253</v>
      </c>
      <c r="BG14" s="3" t="s">
        <v>53</v>
      </c>
      <c r="BH14" s="3" t="s">
        <v>253</v>
      </c>
      <c r="BI14" s="3" t="s">
        <v>53</v>
      </c>
      <c r="BJ14" s="3" t="s">
        <v>403</v>
      </c>
      <c r="BK14" s="3" t="s">
        <v>53</v>
      </c>
      <c r="BL14" s="3" t="s">
        <v>404</v>
      </c>
      <c r="BM14" s="3" t="s">
        <v>53</v>
      </c>
      <c r="BN14" s="3" t="s">
        <v>245</v>
      </c>
      <c r="BO14" s="3" t="s">
        <v>53</v>
      </c>
      <c r="BP14" s="3" t="s">
        <v>858</v>
      </c>
      <c r="BQ14" s="3" t="s">
        <v>53</v>
      </c>
      <c r="BR14" s="3" t="s">
        <v>859</v>
      </c>
      <c r="BS14" s="3" t="s">
        <v>53</v>
      </c>
      <c r="BT14" s="3" t="s">
        <v>229</v>
      </c>
      <c r="BU14" s="3" t="s">
        <v>53</v>
      </c>
      <c r="BV14" s="3" t="s">
        <v>860</v>
      </c>
      <c r="BW14" s="3" t="s">
        <v>53</v>
      </c>
      <c r="BX14" s="3" t="s">
        <v>637</v>
      </c>
      <c r="BY14" s="3" t="s">
        <v>53</v>
      </c>
      <c r="BZ14" s="3" t="s">
        <v>534</v>
      </c>
      <c r="CA14" s="3" t="s">
        <v>53</v>
      </c>
      <c r="CB14" s="3" t="s">
        <v>782</v>
      </c>
      <c r="CC14" s="3" t="s">
        <v>53</v>
      </c>
      <c r="CD14" s="3" t="s">
        <v>861</v>
      </c>
      <c r="CE14" s="3" t="s">
        <v>53</v>
      </c>
      <c r="CF14" s="3" t="s">
        <v>265</v>
      </c>
      <c r="CG14" s="3" t="s">
        <v>53</v>
      </c>
      <c r="CH14" s="3" t="s">
        <v>275</v>
      </c>
    </row>
    <row r="15" spans="1:86" x14ac:dyDescent="0.55000000000000004">
      <c r="A15" s="3" t="s">
        <v>530</v>
      </c>
      <c r="B15" s="3" t="s">
        <v>531</v>
      </c>
      <c r="C15" s="3" t="s">
        <v>51</v>
      </c>
      <c r="D15" s="3" t="s">
        <v>52</v>
      </c>
      <c r="E15" s="3" t="s">
        <v>75</v>
      </c>
      <c r="F15" s="3" t="s">
        <v>726</v>
      </c>
      <c r="G15" s="3" t="s">
        <v>50</v>
      </c>
      <c r="H15" s="3" t="s">
        <v>55</v>
      </c>
      <c r="I15" s="3" t="s">
        <v>56</v>
      </c>
      <c r="J15" s="3" t="s">
        <v>57</v>
      </c>
      <c r="K15" s="3" t="s">
        <v>74</v>
      </c>
      <c r="L15" s="3" t="s">
        <v>52</v>
      </c>
      <c r="M15" s="3" t="s">
        <v>51</v>
      </c>
      <c r="N15" s="3" t="s">
        <v>59</v>
      </c>
      <c r="O15" s="3" t="s">
        <v>53</v>
      </c>
      <c r="P15" s="3" t="s">
        <v>238</v>
      </c>
      <c r="Q15" s="3" t="s">
        <v>53</v>
      </c>
      <c r="R15" s="3" t="s">
        <v>214</v>
      </c>
      <c r="S15" s="3" t="s">
        <v>53</v>
      </c>
      <c r="T15" s="3" t="s">
        <v>200</v>
      </c>
      <c r="U15" s="3" t="s">
        <v>53</v>
      </c>
      <c r="V15" s="3" t="s">
        <v>201</v>
      </c>
      <c r="W15" s="3" t="s">
        <v>53</v>
      </c>
      <c r="X15" s="3" t="s">
        <v>204</v>
      </c>
      <c r="Y15" s="3" t="s">
        <v>53</v>
      </c>
      <c r="Z15" s="3" t="s">
        <v>352</v>
      </c>
      <c r="AA15" s="3" t="s">
        <v>53</v>
      </c>
      <c r="AB15" s="3" t="s">
        <v>862</v>
      </c>
      <c r="AC15" s="3" t="s">
        <v>53</v>
      </c>
      <c r="AD15" s="3" t="s">
        <v>863</v>
      </c>
      <c r="AE15" s="3" t="s">
        <v>53</v>
      </c>
      <c r="AF15" s="3" t="s">
        <v>864</v>
      </c>
      <c r="AG15" s="3" t="s">
        <v>53</v>
      </c>
      <c r="AH15" s="3" t="s">
        <v>865</v>
      </c>
      <c r="AI15" s="3" t="s">
        <v>53</v>
      </c>
      <c r="AJ15" s="3" t="s">
        <v>866</v>
      </c>
      <c r="AK15" s="3" t="s">
        <v>53</v>
      </c>
      <c r="AL15" s="3" t="s">
        <v>867</v>
      </c>
      <c r="AM15" s="3" t="s">
        <v>53</v>
      </c>
      <c r="AN15" s="3" t="s">
        <v>625</v>
      </c>
      <c r="AO15" s="3" t="s">
        <v>53</v>
      </c>
      <c r="AP15" s="3" t="s">
        <v>601</v>
      </c>
      <c r="AQ15" s="3" t="s">
        <v>53</v>
      </c>
      <c r="AR15" s="3" t="s">
        <v>527</v>
      </c>
      <c r="AS15" s="3" t="s">
        <v>53</v>
      </c>
      <c r="AT15" s="3" t="s">
        <v>258</v>
      </c>
      <c r="AU15" s="3" t="s">
        <v>53</v>
      </c>
      <c r="AV15" s="3" t="s">
        <v>845</v>
      </c>
      <c r="AW15" s="3" t="s">
        <v>53</v>
      </c>
      <c r="AX15" s="3" t="s">
        <v>338</v>
      </c>
      <c r="AY15" s="3" t="s">
        <v>53</v>
      </c>
      <c r="AZ15" s="3" t="s">
        <v>868</v>
      </c>
      <c r="BA15" s="3" t="s">
        <v>53</v>
      </c>
      <c r="BB15" s="3" t="s">
        <v>234</v>
      </c>
      <c r="BC15" s="3" t="s">
        <v>53</v>
      </c>
      <c r="BD15" s="3" t="s">
        <v>227</v>
      </c>
      <c r="BE15" s="3" t="s">
        <v>53</v>
      </c>
      <c r="BF15" s="3" t="s">
        <v>209</v>
      </c>
      <c r="BG15" s="3" t="s">
        <v>53</v>
      </c>
      <c r="BH15" s="3" t="s">
        <v>241</v>
      </c>
      <c r="BI15" s="3" t="s">
        <v>53</v>
      </c>
      <c r="BJ15" s="3" t="s">
        <v>318</v>
      </c>
      <c r="BK15" s="3" t="s">
        <v>53</v>
      </c>
      <c r="BL15" s="3" t="s">
        <v>319</v>
      </c>
      <c r="BM15" s="3" t="s">
        <v>53</v>
      </c>
      <c r="BN15" s="3" t="s">
        <v>235</v>
      </c>
      <c r="BO15" s="3" t="s">
        <v>53</v>
      </c>
      <c r="BP15" s="3" t="s">
        <v>869</v>
      </c>
      <c r="BQ15" s="3" t="s">
        <v>53</v>
      </c>
      <c r="BR15" s="3" t="s">
        <v>629</v>
      </c>
      <c r="BS15" s="3" t="s">
        <v>53</v>
      </c>
      <c r="BT15" s="3" t="s">
        <v>331</v>
      </c>
      <c r="BU15" s="3" t="s">
        <v>53</v>
      </c>
      <c r="BV15" s="3" t="s">
        <v>532</v>
      </c>
      <c r="BW15" s="3" t="s">
        <v>53</v>
      </c>
      <c r="BX15" s="3" t="s">
        <v>518</v>
      </c>
      <c r="BY15" s="3" t="s">
        <v>53</v>
      </c>
      <c r="BZ15" s="3" t="s">
        <v>870</v>
      </c>
      <c r="CA15" s="3" t="s">
        <v>53</v>
      </c>
      <c r="CB15" s="3" t="s">
        <v>708</v>
      </c>
      <c r="CC15" s="3" t="s">
        <v>53</v>
      </c>
      <c r="CD15" s="3" t="s">
        <v>757</v>
      </c>
      <c r="CE15" s="3" t="s">
        <v>53</v>
      </c>
      <c r="CF15" s="3" t="s">
        <v>422</v>
      </c>
      <c r="CG15" s="3" t="s">
        <v>53</v>
      </c>
      <c r="CH15" s="3" t="s">
        <v>221</v>
      </c>
    </row>
    <row r="16" spans="1:86" x14ac:dyDescent="0.55000000000000004">
      <c r="A16" s="3" t="s">
        <v>871</v>
      </c>
      <c r="B16" s="3" t="s">
        <v>872</v>
      </c>
      <c r="C16" s="3" t="s">
        <v>81</v>
      </c>
      <c r="D16" s="3" t="s">
        <v>65</v>
      </c>
      <c r="E16" s="3" t="s">
        <v>62</v>
      </c>
      <c r="F16" s="3" t="s">
        <v>771</v>
      </c>
      <c r="G16" s="3" t="s">
        <v>50</v>
      </c>
      <c r="H16" s="3" t="s">
        <v>77</v>
      </c>
      <c r="I16" s="3" t="s">
        <v>56</v>
      </c>
      <c r="J16" s="3" t="s">
        <v>78</v>
      </c>
      <c r="K16" s="3" t="s">
        <v>79</v>
      </c>
      <c r="L16" s="3" t="s">
        <v>65</v>
      </c>
      <c r="M16" s="3" t="s">
        <v>81</v>
      </c>
      <c r="N16" s="3" t="s">
        <v>80</v>
      </c>
      <c r="O16" s="3" t="s">
        <v>53</v>
      </c>
      <c r="P16" s="3" t="s">
        <v>200</v>
      </c>
      <c r="Q16" s="3" t="s">
        <v>53</v>
      </c>
      <c r="R16" s="3" t="s">
        <v>201</v>
      </c>
      <c r="S16" s="3" t="s">
        <v>53</v>
      </c>
      <c r="T16" s="3" t="s">
        <v>202</v>
      </c>
      <c r="U16" s="3" t="s">
        <v>53</v>
      </c>
      <c r="V16" s="3" t="s">
        <v>203</v>
      </c>
      <c r="W16" s="3" t="s">
        <v>53</v>
      </c>
      <c r="X16" s="3" t="s">
        <v>423</v>
      </c>
      <c r="Y16" s="3" t="s">
        <v>53</v>
      </c>
      <c r="Z16" s="3" t="s">
        <v>265</v>
      </c>
      <c r="AA16" s="3" t="s">
        <v>53</v>
      </c>
      <c r="AB16" s="3" t="s">
        <v>220</v>
      </c>
      <c r="AC16" s="3" t="s">
        <v>53</v>
      </c>
      <c r="AD16" s="3" t="s">
        <v>347</v>
      </c>
      <c r="AE16" s="3" t="s">
        <v>53</v>
      </c>
      <c r="AF16" s="3" t="s">
        <v>873</v>
      </c>
      <c r="AG16" s="3" t="s">
        <v>53</v>
      </c>
      <c r="AH16" s="3" t="s">
        <v>874</v>
      </c>
      <c r="AI16" s="3" t="s">
        <v>53</v>
      </c>
      <c r="AJ16" s="3" t="s">
        <v>875</v>
      </c>
      <c r="AK16" s="3" t="s">
        <v>53</v>
      </c>
      <c r="AL16" s="3" t="s">
        <v>699</v>
      </c>
      <c r="AM16" s="3" t="s">
        <v>53</v>
      </c>
      <c r="AN16" s="3" t="s">
        <v>671</v>
      </c>
      <c r="AO16" s="3" t="s">
        <v>53</v>
      </c>
      <c r="AP16" s="3" t="s">
        <v>812</v>
      </c>
      <c r="AQ16" s="3" t="s">
        <v>53</v>
      </c>
      <c r="AR16" s="3" t="s">
        <v>281</v>
      </c>
      <c r="AS16" s="3" t="s">
        <v>53</v>
      </c>
      <c r="AT16" s="3" t="s">
        <v>215</v>
      </c>
      <c r="AU16" s="3" t="s">
        <v>53</v>
      </c>
      <c r="AV16" s="3" t="s">
        <v>876</v>
      </c>
      <c r="AW16" s="3" t="s">
        <v>53</v>
      </c>
      <c r="AX16" s="3" t="s">
        <v>338</v>
      </c>
      <c r="AY16" s="3" t="s">
        <v>53</v>
      </c>
      <c r="AZ16" s="3" t="s">
        <v>877</v>
      </c>
      <c r="BA16" s="3" t="s">
        <v>53</v>
      </c>
      <c r="BB16" s="3" t="s">
        <v>234</v>
      </c>
      <c r="BC16" s="3" t="s">
        <v>53</v>
      </c>
      <c r="BD16" s="3" t="s">
        <v>227</v>
      </c>
      <c r="BE16" s="3" t="s">
        <v>53</v>
      </c>
      <c r="BF16" s="3" t="s">
        <v>241</v>
      </c>
      <c r="BG16" s="3" t="s">
        <v>53</v>
      </c>
      <c r="BH16" s="3" t="s">
        <v>216</v>
      </c>
      <c r="BI16" s="3" t="s">
        <v>53</v>
      </c>
      <c r="BJ16" s="3" t="s">
        <v>340</v>
      </c>
      <c r="BK16" s="3" t="s">
        <v>53</v>
      </c>
      <c r="BL16" s="3" t="s">
        <v>341</v>
      </c>
      <c r="BM16" s="3" t="s">
        <v>53</v>
      </c>
      <c r="BN16" s="3" t="s">
        <v>294</v>
      </c>
      <c r="BO16" s="3" t="s">
        <v>53</v>
      </c>
      <c r="BP16" s="3" t="s">
        <v>878</v>
      </c>
      <c r="BQ16" s="3" t="s">
        <v>53</v>
      </c>
      <c r="BR16" s="3" t="s">
        <v>879</v>
      </c>
      <c r="BS16" s="3" t="s">
        <v>53</v>
      </c>
      <c r="BT16" s="3" t="s">
        <v>331</v>
      </c>
      <c r="BU16" s="3" t="s">
        <v>53</v>
      </c>
      <c r="BV16" s="3" t="s">
        <v>639</v>
      </c>
      <c r="BW16" s="3" t="s">
        <v>53</v>
      </c>
      <c r="BX16" s="3" t="s">
        <v>880</v>
      </c>
      <c r="BY16" s="3" t="s">
        <v>53</v>
      </c>
      <c r="BZ16" s="3" t="s">
        <v>686</v>
      </c>
      <c r="CA16" s="3" t="s">
        <v>53</v>
      </c>
      <c r="CB16" s="3" t="s">
        <v>562</v>
      </c>
      <c r="CC16" s="3" t="s">
        <v>53</v>
      </c>
      <c r="CD16" s="3" t="s">
        <v>638</v>
      </c>
      <c r="CE16" s="3" t="s">
        <v>53</v>
      </c>
      <c r="CF16" s="3" t="s">
        <v>279</v>
      </c>
      <c r="CG16" s="3" t="s">
        <v>53</v>
      </c>
      <c r="CH16" s="3" t="s">
        <v>526</v>
      </c>
    </row>
    <row r="17" spans="1:86" x14ac:dyDescent="0.55000000000000004">
      <c r="A17" s="3" t="s">
        <v>536</v>
      </c>
      <c r="B17" s="3" t="s">
        <v>537</v>
      </c>
      <c r="C17" s="3" t="s">
        <v>372</v>
      </c>
      <c r="D17" s="3" t="s">
        <v>65</v>
      </c>
      <c r="E17" s="3" t="s">
        <v>62</v>
      </c>
      <c r="F17" s="3" t="s">
        <v>771</v>
      </c>
      <c r="G17" s="3" t="s">
        <v>50</v>
      </c>
      <c r="H17" s="3" t="s">
        <v>77</v>
      </c>
      <c r="I17" s="3" t="s">
        <v>56</v>
      </c>
      <c r="J17" s="3" t="s">
        <v>78</v>
      </c>
      <c r="K17" s="3" t="s">
        <v>79</v>
      </c>
      <c r="L17" s="3" t="s">
        <v>65</v>
      </c>
      <c r="M17" s="3" t="s">
        <v>372</v>
      </c>
      <c r="N17" s="3" t="s">
        <v>82</v>
      </c>
      <c r="O17" s="3" t="s">
        <v>53</v>
      </c>
      <c r="P17" s="3" t="s">
        <v>200</v>
      </c>
      <c r="Q17" s="3" t="s">
        <v>53</v>
      </c>
      <c r="R17" s="3" t="s">
        <v>201</v>
      </c>
      <c r="S17" s="3" t="s">
        <v>53</v>
      </c>
      <c r="T17" s="3" t="s">
        <v>202</v>
      </c>
      <c r="U17" s="3" t="s">
        <v>53</v>
      </c>
      <c r="V17" s="3" t="s">
        <v>203</v>
      </c>
      <c r="W17" s="3" t="s">
        <v>53</v>
      </c>
      <c r="X17" s="3" t="s">
        <v>356</v>
      </c>
      <c r="Y17" s="3" t="s">
        <v>53</v>
      </c>
      <c r="Z17" s="3" t="s">
        <v>213</v>
      </c>
      <c r="AA17" s="3" t="s">
        <v>53</v>
      </c>
      <c r="AB17" s="3" t="s">
        <v>205</v>
      </c>
      <c r="AC17" s="3" t="s">
        <v>53</v>
      </c>
      <c r="AD17" s="3" t="s">
        <v>279</v>
      </c>
      <c r="AE17" s="3" t="s">
        <v>53</v>
      </c>
      <c r="AF17" s="3" t="s">
        <v>881</v>
      </c>
      <c r="AG17" s="3" t="s">
        <v>53</v>
      </c>
      <c r="AH17" s="3" t="s">
        <v>882</v>
      </c>
      <c r="AI17" s="3" t="s">
        <v>53</v>
      </c>
      <c r="AJ17" s="3" t="s">
        <v>883</v>
      </c>
      <c r="AK17" s="3" t="s">
        <v>53</v>
      </c>
      <c r="AL17" s="3" t="s">
        <v>884</v>
      </c>
      <c r="AM17" s="3" t="s">
        <v>53</v>
      </c>
      <c r="AN17" s="3" t="s">
        <v>558</v>
      </c>
      <c r="AO17" s="3" t="s">
        <v>53</v>
      </c>
      <c r="AP17" s="3" t="s">
        <v>652</v>
      </c>
      <c r="AQ17" s="3" t="s">
        <v>53</v>
      </c>
      <c r="AR17" s="3" t="s">
        <v>246</v>
      </c>
      <c r="AS17" s="3" t="s">
        <v>53</v>
      </c>
      <c r="AT17" s="3" t="s">
        <v>317</v>
      </c>
      <c r="AU17" s="3" t="s">
        <v>53</v>
      </c>
      <c r="AV17" s="3" t="s">
        <v>885</v>
      </c>
      <c r="AW17" s="3" t="s">
        <v>53</v>
      </c>
      <c r="AX17" s="3" t="s">
        <v>559</v>
      </c>
      <c r="AY17" s="3" t="s">
        <v>53</v>
      </c>
      <c r="AZ17" s="3" t="s">
        <v>677</v>
      </c>
      <c r="BA17" s="3" t="s">
        <v>53</v>
      </c>
      <c r="BB17" s="3" t="s">
        <v>208</v>
      </c>
      <c r="BC17" s="3" t="s">
        <v>53</v>
      </c>
      <c r="BD17" s="3" t="s">
        <v>241</v>
      </c>
      <c r="BE17" s="3" t="s">
        <v>53</v>
      </c>
      <c r="BF17" s="3" t="s">
        <v>253</v>
      </c>
      <c r="BG17" s="3" t="s">
        <v>53</v>
      </c>
      <c r="BH17" s="3" t="s">
        <v>209</v>
      </c>
      <c r="BI17" s="3" t="s">
        <v>53</v>
      </c>
      <c r="BJ17" s="3" t="s">
        <v>210</v>
      </c>
      <c r="BK17" s="3" t="s">
        <v>53</v>
      </c>
      <c r="BL17" s="3" t="s">
        <v>211</v>
      </c>
      <c r="BM17" s="3" t="s">
        <v>53</v>
      </c>
      <c r="BN17" s="3" t="s">
        <v>235</v>
      </c>
      <c r="BO17" s="3" t="s">
        <v>53</v>
      </c>
      <c r="BP17" s="3" t="s">
        <v>886</v>
      </c>
      <c r="BQ17" s="3" t="s">
        <v>53</v>
      </c>
      <c r="BR17" s="3" t="s">
        <v>582</v>
      </c>
      <c r="BS17" s="3" t="s">
        <v>53</v>
      </c>
      <c r="BT17" s="3" t="s">
        <v>236</v>
      </c>
      <c r="BU17" s="3" t="s">
        <v>53</v>
      </c>
      <c r="BV17" s="3" t="s">
        <v>887</v>
      </c>
      <c r="BW17" s="3" t="s">
        <v>53</v>
      </c>
      <c r="BX17" s="3" t="s">
        <v>888</v>
      </c>
      <c r="BY17" s="3" t="s">
        <v>53</v>
      </c>
      <c r="BZ17" s="3" t="s">
        <v>686</v>
      </c>
      <c r="CA17" s="3" t="s">
        <v>53</v>
      </c>
      <c r="CB17" s="3" t="s">
        <v>612</v>
      </c>
      <c r="CC17" s="3" t="s">
        <v>53</v>
      </c>
      <c r="CD17" s="3" t="s">
        <v>889</v>
      </c>
      <c r="CE17" s="3" t="s">
        <v>53</v>
      </c>
      <c r="CF17" s="3" t="s">
        <v>549</v>
      </c>
      <c r="CG17" s="3" t="s">
        <v>53</v>
      </c>
      <c r="CH17" s="3" t="s">
        <v>275</v>
      </c>
    </row>
    <row r="18" spans="1:86" x14ac:dyDescent="0.55000000000000004">
      <c r="A18" s="3" t="s">
        <v>364</v>
      </c>
      <c r="B18" s="3" t="s">
        <v>365</v>
      </c>
      <c r="C18" s="3" t="s">
        <v>76</v>
      </c>
      <c r="D18" s="3" t="s">
        <v>52</v>
      </c>
      <c r="E18" s="3" t="s">
        <v>366</v>
      </c>
      <c r="F18" s="3" t="s">
        <v>839</v>
      </c>
      <c r="G18" s="3" t="s">
        <v>50</v>
      </c>
      <c r="H18" s="3" t="s">
        <v>77</v>
      </c>
      <c r="I18" s="3" t="s">
        <v>56</v>
      </c>
      <c r="J18" s="3" t="s">
        <v>78</v>
      </c>
      <c r="K18" s="3" t="s">
        <v>79</v>
      </c>
      <c r="L18" s="3" t="s">
        <v>52</v>
      </c>
      <c r="M18" s="3" t="s">
        <v>76</v>
      </c>
      <c r="N18" s="3" t="s">
        <v>63</v>
      </c>
      <c r="O18" s="3" t="s">
        <v>53</v>
      </c>
      <c r="P18" s="3" t="s">
        <v>214</v>
      </c>
      <c r="Q18" s="3" t="s">
        <v>53</v>
      </c>
      <c r="R18" s="3" t="s">
        <v>200</v>
      </c>
      <c r="S18" s="3" t="s">
        <v>53</v>
      </c>
      <c r="T18" s="3" t="s">
        <v>201</v>
      </c>
      <c r="U18" s="3" t="s">
        <v>53</v>
      </c>
      <c r="V18" s="3" t="s">
        <v>202</v>
      </c>
      <c r="W18" s="3" t="s">
        <v>53</v>
      </c>
      <c r="X18" s="3" t="s">
        <v>890</v>
      </c>
      <c r="Y18" s="3" t="s">
        <v>53</v>
      </c>
      <c r="Z18" s="3" t="s">
        <v>296</v>
      </c>
      <c r="AA18" s="3" t="s">
        <v>53</v>
      </c>
      <c r="AB18" s="3" t="s">
        <v>213</v>
      </c>
      <c r="AC18" s="3" t="s">
        <v>53</v>
      </c>
      <c r="AD18" s="3" t="s">
        <v>385</v>
      </c>
      <c r="AE18" s="3" t="s">
        <v>53</v>
      </c>
      <c r="AF18" s="3" t="s">
        <v>891</v>
      </c>
      <c r="AG18" s="3" t="s">
        <v>53</v>
      </c>
      <c r="AH18" s="3" t="s">
        <v>892</v>
      </c>
      <c r="AI18" s="3" t="s">
        <v>53</v>
      </c>
      <c r="AJ18" s="3" t="s">
        <v>893</v>
      </c>
      <c r="AK18" s="3" t="s">
        <v>53</v>
      </c>
      <c r="AL18" s="3" t="s">
        <v>894</v>
      </c>
      <c r="AM18" s="3" t="s">
        <v>53</v>
      </c>
      <c r="AN18" s="3" t="s">
        <v>895</v>
      </c>
      <c r="AO18" s="3" t="s">
        <v>53</v>
      </c>
      <c r="AP18" s="3" t="s">
        <v>299</v>
      </c>
      <c r="AQ18" s="3" t="s">
        <v>53</v>
      </c>
      <c r="AR18" s="3" t="s">
        <v>539</v>
      </c>
      <c r="AS18" s="3" t="s">
        <v>53</v>
      </c>
      <c r="AT18" s="3" t="s">
        <v>383</v>
      </c>
      <c r="AU18" s="3" t="s">
        <v>53</v>
      </c>
      <c r="AV18" s="3" t="s">
        <v>896</v>
      </c>
      <c r="AW18" s="3" t="s">
        <v>53</v>
      </c>
      <c r="AX18" s="3" t="s">
        <v>233</v>
      </c>
      <c r="AY18" s="3" t="s">
        <v>53</v>
      </c>
      <c r="AZ18" s="3" t="s">
        <v>897</v>
      </c>
      <c r="BA18" s="3" t="s">
        <v>53</v>
      </c>
      <c r="BB18" s="3" t="s">
        <v>253</v>
      </c>
      <c r="BC18" s="3" t="s">
        <v>53</v>
      </c>
      <c r="BD18" s="3" t="s">
        <v>227</v>
      </c>
      <c r="BE18" s="3" t="s">
        <v>53</v>
      </c>
      <c r="BF18" s="3" t="s">
        <v>234</v>
      </c>
      <c r="BG18" s="3" t="s">
        <v>53</v>
      </c>
      <c r="BH18" s="3" t="s">
        <v>241</v>
      </c>
      <c r="BI18" s="3" t="s">
        <v>53</v>
      </c>
      <c r="BJ18" s="3" t="s">
        <v>403</v>
      </c>
      <c r="BK18" s="3" t="s">
        <v>53</v>
      </c>
      <c r="BL18" s="3" t="s">
        <v>404</v>
      </c>
      <c r="BM18" s="3" t="s">
        <v>53</v>
      </c>
      <c r="BN18" s="3" t="s">
        <v>261</v>
      </c>
      <c r="BO18" s="3" t="s">
        <v>53</v>
      </c>
      <c r="BP18" s="3" t="s">
        <v>898</v>
      </c>
      <c r="BQ18" s="3" t="s">
        <v>53</v>
      </c>
      <c r="BR18" s="3" t="s">
        <v>899</v>
      </c>
      <c r="BS18" s="3" t="s">
        <v>53</v>
      </c>
      <c r="BT18" s="3" t="s">
        <v>331</v>
      </c>
      <c r="BU18" s="3" t="s">
        <v>53</v>
      </c>
      <c r="BV18" s="3" t="s">
        <v>900</v>
      </c>
      <c r="BW18" s="3" t="s">
        <v>53</v>
      </c>
      <c r="BX18" s="3" t="s">
        <v>656</v>
      </c>
      <c r="BY18" s="3" t="s">
        <v>53</v>
      </c>
      <c r="BZ18" s="3" t="s">
        <v>901</v>
      </c>
      <c r="CA18" s="3" t="s">
        <v>53</v>
      </c>
      <c r="CB18" s="3" t="s">
        <v>596</v>
      </c>
      <c r="CC18" s="3" t="s">
        <v>53</v>
      </c>
      <c r="CD18" s="3" t="s">
        <v>902</v>
      </c>
      <c r="CE18" s="3" t="s">
        <v>53</v>
      </c>
      <c r="CF18" s="3" t="s">
        <v>266</v>
      </c>
      <c r="CG18" s="3" t="s">
        <v>53</v>
      </c>
      <c r="CH18" s="3" t="s">
        <v>321</v>
      </c>
    </row>
    <row r="19" spans="1:86" x14ac:dyDescent="0.55000000000000004">
      <c r="A19" s="3" t="s">
        <v>399</v>
      </c>
      <c r="B19" s="3" t="s">
        <v>400</v>
      </c>
      <c r="C19" s="3" t="s">
        <v>81</v>
      </c>
      <c r="D19" s="3" t="s">
        <v>65</v>
      </c>
      <c r="E19" s="3" t="s">
        <v>401</v>
      </c>
      <c r="F19" s="3" t="s">
        <v>710</v>
      </c>
      <c r="G19" s="3" t="s">
        <v>50</v>
      </c>
      <c r="H19" s="3" t="s">
        <v>77</v>
      </c>
      <c r="I19" s="3" t="s">
        <v>56</v>
      </c>
      <c r="J19" s="3" t="s">
        <v>78</v>
      </c>
      <c r="K19" s="3" t="s">
        <v>79</v>
      </c>
      <c r="L19" s="3" t="s">
        <v>65</v>
      </c>
      <c r="M19" s="3" t="s">
        <v>81</v>
      </c>
      <c r="N19" s="3" t="s">
        <v>80</v>
      </c>
      <c r="O19" s="3" t="s">
        <v>53</v>
      </c>
      <c r="P19" s="3" t="s">
        <v>200</v>
      </c>
      <c r="Q19" s="3" t="s">
        <v>53</v>
      </c>
      <c r="R19" s="3" t="s">
        <v>201</v>
      </c>
      <c r="S19" s="3" t="s">
        <v>53</v>
      </c>
      <c r="T19" s="3" t="s">
        <v>202</v>
      </c>
      <c r="U19" s="3" t="s">
        <v>53</v>
      </c>
      <c r="V19" s="3" t="s">
        <v>203</v>
      </c>
      <c r="W19" s="3" t="s">
        <v>53</v>
      </c>
      <c r="X19" s="3" t="s">
        <v>254</v>
      </c>
      <c r="Y19" s="3" t="s">
        <v>53</v>
      </c>
      <c r="Z19" s="3" t="s">
        <v>224</v>
      </c>
      <c r="AA19" s="3" t="s">
        <v>53</v>
      </c>
      <c r="AB19" s="3" t="s">
        <v>279</v>
      </c>
      <c r="AC19" s="3" t="s">
        <v>53</v>
      </c>
      <c r="AD19" s="3" t="s">
        <v>266</v>
      </c>
      <c r="AE19" s="3" t="s">
        <v>53</v>
      </c>
      <c r="AF19" s="3" t="s">
        <v>903</v>
      </c>
      <c r="AG19" s="3" t="s">
        <v>53</v>
      </c>
      <c r="AH19" s="3" t="s">
        <v>904</v>
      </c>
      <c r="AI19" s="3" t="s">
        <v>53</v>
      </c>
      <c r="AJ19" s="3" t="s">
        <v>905</v>
      </c>
      <c r="AK19" s="3" t="s">
        <v>53</v>
      </c>
      <c r="AL19" s="3" t="s">
        <v>906</v>
      </c>
      <c r="AM19" s="3" t="s">
        <v>53</v>
      </c>
      <c r="AN19" s="3" t="s">
        <v>868</v>
      </c>
      <c r="AO19" s="3" t="s">
        <v>53</v>
      </c>
      <c r="AP19" s="3" t="s">
        <v>310</v>
      </c>
      <c r="AQ19" s="3" t="s">
        <v>53</v>
      </c>
      <c r="AR19" s="3" t="s">
        <v>796</v>
      </c>
      <c r="AS19" s="3" t="s">
        <v>53</v>
      </c>
      <c r="AT19" s="3" t="s">
        <v>328</v>
      </c>
      <c r="AU19" s="3" t="s">
        <v>53</v>
      </c>
      <c r="AV19" s="3" t="s">
        <v>907</v>
      </c>
      <c r="AW19" s="3" t="s">
        <v>53</v>
      </c>
      <c r="AX19" s="3" t="s">
        <v>556</v>
      </c>
      <c r="AY19" s="3" t="s">
        <v>53</v>
      </c>
      <c r="AZ19" s="3" t="s">
        <v>620</v>
      </c>
      <c r="BA19" s="3" t="s">
        <v>53</v>
      </c>
      <c r="BB19" s="3" t="s">
        <v>208</v>
      </c>
      <c r="BC19" s="3" t="s">
        <v>53</v>
      </c>
      <c r="BD19" s="3" t="s">
        <v>241</v>
      </c>
      <c r="BE19" s="3" t="s">
        <v>53</v>
      </c>
      <c r="BF19" s="3" t="s">
        <v>234</v>
      </c>
      <c r="BG19" s="3" t="s">
        <v>53</v>
      </c>
      <c r="BH19" s="3" t="s">
        <v>241</v>
      </c>
      <c r="BI19" s="3" t="s">
        <v>53</v>
      </c>
      <c r="BJ19" s="3" t="s">
        <v>403</v>
      </c>
      <c r="BK19" s="3" t="s">
        <v>53</v>
      </c>
      <c r="BL19" s="3" t="s">
        <v>404</v>
      </c>
      <c r="BM19" s="3" t="s">
        <v>53</v>
      </c>
      <c r="BN19" s="3" t="s">
        <v>228</v>
      </c>
      <c r="BO19" s="3" t="s">
        <v>53</v>
      </c>
      <c r="BP19" s="3" t="s">
        <v>908</v>
      </c>
      <c r="BQ19" s="3" t="s">
        <v>53</v>
      </c>
      <c r="BR19" s="3" t="s">
        <v>634</v>
      </c>
      <c r="BS19" s="3" t="s">
        <v>53</v>
      </c>
      <c r="BT19" s="3" t="s">
        <v>376</v>
      </c>
      <c r="BU19" s="3" t="s">
        <v>53</v>
      </c>
      <c r="BV19" s="3" t="s">
        <v>351</v>
      </c>
      <c r="BW19" s="3" t="s">
        <v>53</v>
      </c>
      <c r="BX19" s="3" t="s">
        <v>324</v>
      </c>
      <c r="BY19" s="3" t="s">
        <v>53</v>
      </c>
      <c r="BZ19" s="3" t="s">
        <v>626</v>
      </c>
      <c r="CA19" s="3" t="s">
        <v>53</v>
      </c>
      <c r="CB19" s="3" t="s">
        <v>513</v>
      </c>
      <c r="CC19" s="3" t="s">
        <v>53</v>
      </c>
      <c r="CD19" s="3" t="s">
        <v>278</v>
      </c>
      <c r="CE19" s="3" t="s">
        <v>53</v>
      </c>
      <c r="CF19" s="3" t="s">
        <v>388</v>
      </c>
      <c r="CG19" s="3" t="s">
        <v>53</v>
      </c>
      <c r="CH19" s="3" t="s">
        <v>375</v>
      </c>
    </row>
    <row r="20" spans="1:86" x14ac:dyDescent="0.55000000000000004">
      <c r="A20" s="3" t="s">
        <v>405</v>
      </c>
      <c r="B20" s="3" t="s">
        <v>314</v>
      </c>
      <c r="C20" s="3" t="s">
        <v>61</v>
      </c>
      <c r="D20" s="3" t="s">
        <v>52</v>
      </c>
      <c r="E20" s="3" t="s">
        <v>401</v>
      </c>
      <c r="F20" s="3" t="s">
        <v>710</v>
      </c>
      <c r="G20" s="3" t="s">
        <v>50</v>
      </c>
      <c r="H20" s="3" t="s">
        <v>55</v>
      </c>
      <c r="I20" s="3" t="s">
        <v>56</v>
      </c>
      <c r="J20" s="3" t="s">
        <v>78</v>
      </c>
      <c r="K20" s="3" t="s">
        <v>79</v>
      </c>
      <c r="L20" s="3" t="s">
        <v>52</v>
      </c>
      <c r="M20" s="3" t="s">
        <v>61</v>
      </c>
      <c r="N20" s="3" t="s">
        <v>59</v>
      </c>
      <c r="O20" s="3" t="s">
        <v>53</v>
      </c>
      <c r="P20" s="3" t="s">
        <v>214</v>
      </c>
      <c r="Q20" s="3" t="s">
        <v>53</v>
      </c>
      <c r="R20" s="3" t="s">
        <v>200</v>
      </c>
      <c r="S20" s="3" t="s">
        <v>53</v>
      </c>
      <c r="T20" s="3" t="s">
        <v>201</v>
      </c>
      <c r="U20" s="3"/>
      <c r="V20" s="3"/>
      <c r="W20" s="3" t="s">
        <v>53</v>
      </c>
      <c r="X20" s="3" t="s">
        <v>222</v>
      </c>
      <c r="Y20" s="3" t="s">
        <v>53</v>
      </c>
      <c r="Z20" s="3" t="s">
        <v>205</v>
      </c>
      <c r="AA20" s="3" t="s">
        <v>53</v>
      </c>
      <c r="AB20" s="3" t="s">
        <v>205</v>
      </c>
      <c r="AC20" s="3"/>
      <c r="AD20" s="3"/>
      <c r="AE20" s="3" t="s">
        <v>53</v>
      </c>
      <c r="AF20" s="3" t="s">
        <v>909</v>
      </c>
      <c r="AG20" s="3" t="s">
        <v>53</v>
      </c>
      <c r="AH20" s="3" t="s">
        <v>910</v>
      </c>
      <c r="AI20" s="3" t="s">
        <v>53</v>
      </c>
      <c r="AJ20" s="3" t="s">
        <v>911</v>
      </c>
      <c r="AK20" s="3" t="s">
        <v>53</v>
      </c>
      <c r="AL20" s="3" t="s">
        <v>912</v>
      </c>
      <c r="AM20" s="3" t="s">
        <v>53</v>
      </c>
      <c r="AN20" s="3" t="s">
        <v>913</v>
      </c>
      <c r="AO20" s="3" t="s">
        <v>53</v>
      </c>
      <c r="AP20" s="3" t="s">
        <v>370</v>
      </c>
      <c r="AQ20" s="3" t="s">
        <v>53</v>
      </c>
      <c r="AR20" s="3" t="s">
        <v>792</v>
      </c>
      <c r="AS20" s="3" t="s">
        <v>53</v>
      </c>
      <c r="AT20" s="3" t="s">
        <v>206</v>
      </c>
      <c r="AU20" s="3" t="s">
        <v>53</v>
      </c>
      <c r="AV20" s="3" t="s">
        <v>914</v>
      </c>
      <c r="AW20" s="3" t="s">
        <v>53</v>
      </c>
      <c r="AX20" s="3" t="s">
        <v>402</v>
      </c>
      <c r="AY20" s="3" t="s">
        <v>53</v>
      </c>
      <c r="AZ20" s="3" t="s">
        <v>915</v>
      </c>
      <c r="BA20" s="3" t="s">
        <v>53</v>
      </c>
      <c r="BB20" s="3" t="s">
        <v>208</v>
      </c>
      <c r="BC20" s="3" t="s">
        <v>53</v>
      </c>
      <c r="BD20" s="3" t="s">
        <v>227</v>
      </c>
      <c r="BE20" s="3" t="s">
        <v>53</v>
      </c>
      <c r="BF20" s="3" t="s">
        <v>253</v>
      </c>
      <c r="BG20" s="3" t="s">
        <v>53</v>
      </c>
      <c r="BH20" s="3" t="s">
        <v>234</v>
      </c>
      <c r="BI20" s="3" t="s">
        <v>53</v>
      </c>
      <c r="BJ20" s="3" t="s">
        <v>263</v>
      </c>
      <c r="BK20" s="3" t="s">
        <v>53</v>
      </c>
      <c r="BL20" s="3" t="s">
        <v>274</v>
      </c>
      <c r="BM20" s="3" t="s">
        <v>53</v>
      </c>
      <c r="BN20" s="3" t="s">
        <v>245</v>
      </c>
      <c r="BO20" s="3" t="s">
        <v>53</v>
      </c>
      <c r="BP20" s="3" t="s">
        <v>916</v>
      </c>
      <c r="BQ20" s="3" t="s">
        <v>53</v>
      </c>
      <c r="BR20" s="3" t="s">
        <v>612</v>
      </c>
      <c r="BS20" s="3" t="s">
        <v>53</v>
      </c>
      <c r="BT20" s="3" t="s">
        <v>300</v>
      </c>
      <c r="BU20" s="3" t="s">
        <v>53</v>
      </c>
      <c r="BV20" s="3" t="s">
        <v>408</v>
      </c>
      <c r="BW20" s="3" t="s">
        <v>53</v>
      </c>
      <c r="BX20" s="3" t="s">
        <v>917</v>
      </c>
      <c r="BY20" s="3" t="s">
        <v>53</v>
      </c>
      <c r="BZ20" s="3" t="s">
        <v>918</v>
      </c>
      <c r="CA20" s="3" t="s">
        <v>53</v>
      </c>
      <c r="CB20" s="3" t="s">
        <v>540</v>
      </c>
      <c r="CC20" s="3" t="s">
        <v>53</v>
      </c>
      <c r="CD20" s="3" t="s">
        <v>919</v>
      </c>
      <c r="CE20" s="3" t="s">
        <v>53</v>
      </c>
      <c r="CF20" s="3" t="s">
        <v>394</v>
      </c>
      <c r="CG20" s="3" t="s">
        <v>53</v>
      </c>
      <c r="CH20" s="3" t="s">
        <v>297</v>
      </c>
    </row>
    <row r="21" spans="1:86" x14ac:dyDescent="0.55000000000000004">
      <c r="A21" s="3" t="s">
        <v>546</v>
      </c>
      <c r="B21" s="3" t="s">
        <v>547</v>
      </c>
      <c r="C21" s="3" t="s">
        <v>51</v>
      </c>
      <c r="D21" s="3" t="s">
        <v>65</v>
      </c>
      <c r="E21" s="3" t="s">
        <v>548</v>
      </c>
      <c r="F21" s="3" t="s">
        <v>710</v>
      </c>
      <c r="G21" s="3" t="s">
        <v>50</v>
      </c>
      <c r="H21" s="3" t="s">
        <v>55</v>
      </c>
      <c r="I21" s="3" t="s">
        <v>56</v>
      </c>
      <c r="J21" s="3" t="s">
        <v>60</v>
      </c>
      <c r="K21" s="3" t="s">
        <v>58</v>
      </c>
      <c r="L21" s="3" t="s">
        <v>65</v>
      </c>
      <c r="M21" s="3" t="s">
        <v>51</v>
      </c>
      <c r="N21" s="3" t="s">
        <v>72</v>
      </c>
      <c r="O21" s="3" t="s">
        <v>53</v>
      </c>
      <c r="P21" s="3" t="s">
        <v>214</v>
      </c>
      <c r="Q21" s="3" t="s">
        <v>53</v>
      </c>
      <c r="R21" s="3" t="s">
        <v>200</v>
      </c>
      <c r="S21" s="3" t="s">
        <v>53</v>
      </c>
      <c r="T21" s="3" t="s">
        <v>201</v>
      </c>
      <c r="U21" s="3" t="s">
        <v>53</v>
      </c>
      <c r="V21" s="3" t="s">
        <v>202</v>
      </c>
      <c r="W21" s="3" t="s">
        <v>53</v>
      </c>
      <c r="X21" s="3" t="s">
        <v>254</v>
      </c>
      <c r="Y21" s="3" t="s">
        <v>53</v>
      </c>
      <c r="Z21" s="3" t="s">
        <v>220</v>
      </c>
      <c r="AA21" s="3" t="s">
        <v>53</v>
      </c>
      <c r="AB21" s="3" t="s">
        <v>325</v>
      </c>
      <c r="AC21" s="3" t="s">
        <v>53</v>
      </c>
      <c r="AD21" s="3" t="s">
        <v>359</v>
      </c>
      <c r="AE21" s="3" t="s">
        <v>53</v>
      </c>
      <c r="AF21" s="3" t="s">
        <v>920</v>
      </c>
      <c r="AG21" s="3" t="s">
        <v>53</v>
      </c>
      <c r="AH21" s="3" t="s">
        <v>921</v>
      </c>
      <c r="AI21" s="3" t="s">
        <v>53</v>
      </c>
      <c r="AJ21" s="3" t="s">
        <v>922</v>
      </c>
      <c r="AK21" s="3" t="s">
        <v>53</v>
      </c>
      <c r="AL21" s="3" t="s">
        <v>923</v>
      </c>
      <c r="AM21" s="3" t="s">
        <v>53</v>
      </c>
      <c r="AN21" s="3" t="s">
        <v>924</v>
      </c>
      <c r="AO21" s="3" t="s">
        <v>53</v>
      </c>
      <c r="AP21" s="3" t="s">
        <v>215</v>
      </c>
      <c r="AQ21" s="3" t="s">
        <v>53</v>
      </c>
      <c r="AR21" s="3" t="s">
        <v>408</v>
      </c>
      <c r="AS21" s="3" t="s">
        <v>53</v>
      </c>
      <c r="AT21" s="3" t="s">
        <v>383</v>
      </c>
      <c r="AU21" s="3" t="s">
        <v>53</v>
      </c>
      <c r="AV21" s="3" t="s">
        <v>832</v>
      </c>
      <c r="AW21" s="3" t="s">
        <v>53</v>
      </c>
      <c r="AX21" s="3" t="s">
        <v>925</v>
      </c>
      <c r="AY21" s="3" t="s">
        <v>53</v>
      </c>
      <c r="AZ21" s="3" t="s">
        <v>926</v>
      </c>
      <c r="BA21" s="3" t="s">
        <v>53</v>
      </c>
      <c r="BB21" s="3" t="s">
        <v>253</v>
      </c>
      <c r="BC21" s="3" t="s">
        <v>53</v>
      </c>
      <c r="BD21" s="3" t="s">
        <v>208</v>
      </c>
      <c r="BE21" s="3" t="s">
        <v>53</v>
      </c>
      <c r="BF21" s="3" t="s">
        <v>209</v>
      </c>
      <c r="BG21" s="3" t="s">
        <v>53</v>
      </c>
      <c r="BH21" s="3" t="s">
        <v>216</v>
      </c>
      <c r="BI21" s="3" t="s">
        <v>53</v>
      </c>
      <c r="BJ21" s="3" t="s">
        <v>376</v>
      </c>
      <c r="BK21" s="3" t="s">
        <v>53</v>
      </c>
      <c r="BL21" s="3" t="s">
        <v>343</v>
      </c>
      <c r="BM21" s="3" t="s">
        <v>53</v>
      </c>
      <c r="BN21" s="3" t="s">
        <v>219</v>
      </c>
      <c r="BO21" s="3" t="s">
        <v>53</v>
      </c>
      <c r="BP21" s="3" t="s">
        <v>927</v>
      </c>
      <c r="BQ21" s="3" t="s">
        <v>53</v>
      </c>
      <c r="BR21" s="3" t="s">
        <v>533</v>
      </c>
      <c r="BS21" s="3" t="s">
        <v>53</v>
      </c>
      <c r="BT21" s="3" t="s">
        <v>229</v>
      </c>
      <c r="BU21" s="3" t="s">
        <v>53</v>
      </c>
      <c r="BV21" s="3" t="s">
        <v>928</v>
      </c>
      <c r="BW21" s="3" t="s">
        <v>53</v>
      </c>
      <c r="BX21" s="3" t="s">
        <v>532</v>
      </c>
      <c r="BY21" s="3" t="s">
        <v>53</v>
      </c>
      <c r="BZ21" s="3" t="s">
        <v>529</v>
      </c>
      <c r="CA21" s="3" t="s">
        <v>53</v>
      </c>
      <c r="CB21" s="3" t="s">
        <v>568</v>
      </c>
      <c r="CC21" s="3" t="s">
        <v>53</v>
      </c>
      <c r="CD21" s="3" t="s">
        <v>291</v>
      </c>
      <c r="CE21" s="3" t="s">
        <v>53</v>
      </c>
      <c r="CF21" s="3" t="s">
        <v>222</v>
      </c>
      <c r="CG21" s="3" t="s">
        <v>53</v>
      </c>
      <c r="CH21" s="3" t="s">
        <v>247</v>
      </c>
    </row>
    <row r="22" spans="1:86" x14ac:dyDescent="0.55000000000000004">
      <c r="A22" s="3" t="s">
        <v>551</v>
      </c>
      <c r="B22" s="3" t="s">
        <v>552</v>
      </c>
      <c r="C22" s="3" t="s">
        <v>372</v>
      </c>
      <c r="D22" s="3" t="s">
        <v>65</v>
      </c>
      <c r="E22" s="3" t="s">
        <v>62</v>
      </c>
      <c r="F22" s="3" t="s">
        <v>771</v>
      </c>
      <c r="G22" s="3" t="s">
        <v>50</v>
      </c>
      <c r="H22" s="3" t="s">
        <v>77</v>
      </c>
      <c r="I22" s="3" t="s">
        <v>56</v>
      </c>
      <c r="J22" s="3" t="s">
        <v>78</v>
      </c>
      <c r="K22" s="3" t="s">
        <v>79</v>
      </c>
      <c r="L22" s="3" t="s">
        <v>65</v>
      </c>
      <c r="M22" s="3" t="s">
        <v>372</v>
      </c>
      <c r="N22" s="3" t="s">
        <v>82</v>
      </c>
      <c r="O22" s="3" t="s">
        <v>53</v>
      </c>
      <c r="P22" s="3" t="s">
        <v>200</v>
      </c>
      <c r="Q22" s="3" t="s">
        <v>53</v>
      </c>
      <c r="R22" s="3" t="s">
        <v>201</v>
      </c>
      <c r="S22" s="3" t="s">
        <v>53</v>
      </c>
      <c r="T22" s="3" t="s">
        <v>202</v>
      </c>
      <c r="U22" s="3" t="s">
        <v>53</v>
      </c>
      <c r="V22" s="3" t="s">
        <v>203</v>
      </c>
      <c r="W22" s="3" t="s">
        <v>53</v>
      </c>
      <c r="X22" s="3" t="s">
        <v>223</v>
      </c>
      <c r="Y22" s="3" t="s">
        <v>53</v>
      </c>
      <c r="Z22" s="3" t="s">
        <v>252</v>
      </c>
      <c r="AA22" s="3" t="s">
        <v>53</v>
      </c>
      <c r="AB22" s="3" t="s">
        <v>348</v>
      </c>
      <c r="AC22" s="3" t="s">
        <v>53</v>
      </c>
      <c r="AD22" s="3" t="s">
        <v>353</v>
      </c>
      <c r="AE22" s="3" t="s">
        <v>53</v>
      </c>
      <c r="AF22" s="3" t="s">
        <v>929</v>
      </c>
      <c r="AG22" s="3" t="s">
        <v>53</v>
      </c>
      <c r="AH22" s="3" t="s">
        <v>930</v>
      </c>
      <c r="AI22" s="3" t="s">
        <v>53</v>
      </c>
      <c r="AJ22" s="3" t="s">
        <v>931</v>
      </c>
      <c r="AK22" s="3" t="s">
        <v>53</v>
      </c>
      <c r="AL22" s="3" t="s">
        <v>651</v>
      </c>
      <c r="AM22" s="3" t="s">
        <v>53</v>
      </c>
      <c r="AN22" s="3" t="s">
        <v>588</v>
      </c>
      <c r="AO22" s="3" t="s">
        <v>53</v>
      </c>
      <c r="AP22" s="3" t="s">
        <v>326</v>
      </c>
      <c r="AQ22" s="3" t="s">
        <v>53</v>
      </c>
      <c r="AR22" s="3" t="s">
        <v>304</v>
      </c>
      <c r="AS22" s="3" t="s">
        <v>53</v>
      </c>
      <c r="AT22" s="3" t="s">
        <v>225</v>
      </c>
      <c r="AU22" s="3" t="s">
        <v>53</v>
      </c>
      <c r="AV22" s="3" t="s">
        <v>932</v>
      </c>
      <c r="AW22" s="3" t="s">
        <v>53</v>
      </c>
      <c r="AX22" s="3" t="s">
        <v>233</v>
      </c>
      <c r="AY22" s="3" t="s">
        <v>53</v>
      </c>
      <c r="AZ22" s="3" t="s">
        <v>696</v>
      </c>
      <c r="BA22" s="3" t="s">
        <v>53</v>
      </c>
      <c r="BB22" s="3" t="s">
        <v>216</v>
      </c>
      <c r="BC22" s="3" t="s">
        <v>53</v>
      </c>
      <c r="BD22" s="3" t="s">
        <v>227</v>
      </c>
      <c r="BE22" s="3" t="s">
        <v>53</v>
      </c>
      <c r="BF22" s="3" t="s">
        <v>209</v>
      </c>
      <c r="BG22" s="3" t="s">
        <v>53</v>
      </c>
      <c r="BH22" s="3" t="s">
        <v>253</v>
      </c>
      <c r="BI22" s="3" t="s">
        <v>53</v>
      </c>
      <c r="BJ22" s="3" t="s">
        <v>217</v>
      </c>
      <c r="BK22" s="3" t="s">
        <v>53</v>
      </c>
      <c r="BL22" s="3" t="s">
        <v>218</v>
      </c>
      <c r="BM22" s="3" t="s">
        <v>53</v>
      </c>
      <c r="BN22" s="3" t="s">
        <v>261</v>
      </c>
      <c r="BO22" s="3" t="s">
        <v>53</v>
      </c>
      <c r="BP22" s="3" t="s">
        <v>933</v>
      </c>
      <c r="BQ22" s="3" t="s">
        <v>53</v>
      </c>
      <c r="BR22" s="3" t="s">
        <v>934</v>
      </c>
      <c r="BS22" s="3" t="s">
        <v>53</v>
      </c>
      <c r="BT22" s="3" t="s">
        <v>260</v>
      </c>
      <c r="BU22" s="3" t="s">
        <v>53</v>
      </c>
      <c r="BV22" s="3" t="s">
        <v>935</v>
      </c>
      <c r="BW22" s="3" t="s">
        <v>53</v>
      </c>
      <c r="BX22" s="3" t="s">
        <v>653</v>
      </c>
      <c r="BY22" s="3" t="s">
        <v>53</v>
      </c>
      <c r="BZ22" s="3" t="s">
        <v>553</v>
      </c>
      <c r="CA22" s="3" t="s">
        <v>53</v>
      </c>
      <c r="CB22" s="3" t="s">
        <v>691</v>
      </c>
      <c r="CC22" s="3" t="s">
        <v>53</v>
      </c>
      <c r="CD22" s="3" t="s">
        <v>936</v>
      </c>
      <c r="CE22" s="3" t="s">
        <v>53</v>
      </c>
      <c r="CF22" s="3" t="s">
        <v>273</v>
      </c>
      <c r="CG22" s="3" t="s">
        <v>53</v>
      </c>
      <c r="CH22" s="3" t="s">
        <v>368</v>
      </c>
    </row>
    <row r="23" spans="1:86" x14ac:dyDescent="0.55000000000000004">
      <c r="A23" s="3" t="s">
        <v>640</v>
      </c>
      <c r="B23" s="3" t="s">
        <v>641</v>
      </c>
      <c r="C23" s="3" t="s">
        <v>68</v>
      </c>
      <c r="D23" s="3" t="s">
        <v>52</v>
      </c>
      <c r="E23" s="3" t="s">
        <v>642</v>
      </c>
      <c r="F23" s="3" t="s">
        <v>937</v>
      </c>
      <c r="G23" s="3" t="s">
        <v>50</v>
      </c>
      <c r="H23" s="3" t="s">
        <v>55</v>
      </c>
      <c r="I23" s="3" t="s">
        <v>56</v>
      </c>
      <c r="J23" s="3" t="s">
        <v>57</v>
      </c>
      <c r="K23" s="3" t="s">
        <v>938</v>
      </c>
      <c r="L23" s="3" t="s">
        <v>52</v>
      </c>
      <c r="M23" s="3" t="s">
        <v>68</v>
      </c>
      <c r="N23" s="3" t="s">
        <v>69</v>
      </c>
      <c r="O23" s="3" t="s">
        <v>53</v>
      </c>
      <c r="P23" s="3" t="s">
        <v>214</v>
      </c>
      <c r="Q23" s="3" t="s">
        <v>53</v>
      </c>
      <c r="R23" s="3" t="s">
        <v>200</v>
      </c>
      <c r="S23" s="3" t="s">
        <v>53</v>
      </c>
      <c r="T23" s="3" t="s">
        <v>201</v>
      </c>
      <c r="U23" s="3" t="s">
        <v>53</v>
      </c>
      <c r="V23" s="3" t="s">
        <v>202</v>
      </c>
      <c r="W23" s="3" t="s">
        <v>53</v>
      </c>
      <c r="X23" s="3" t="s">
        <v>339</v>
      </c>
      <c r="Y23" s="3" t="s">
        <v>53</v>
      </c>
      <c r="Z23" s="3" t="s">
        <v>423</v>
      </c>
      <c r="AA23" s="3" t="s">
        <v>53</v>
      </c>
      <c r="AB23" s="3" t="s">
        <v>265</v>
      </c>
      <c r="AC23" s="3" t="s">
        <v>53</v>
      </c>
      <c r="AD23" s="3" t="s">
        <v>325</v>
      </c>
      <c r="AE23" s="3" t="s">
        <v>53</v>
      </c>
      <c r="AF23" s="3" t="s">
        <v>939</v>
      </c>
      <c r="AG23" s="3" t="s">
        <v>53</v>
      </c>
      <c r="AH23" s="3" t="s">
        <v>940</v>
      </c>
      <c r="AI23" s="3" t="s">
        <v>53</v>
      </c>
      <c r="AJ23" s="3" t="s">
        <v>941</v>
      </c>
      <c r="AK23" s="3" t="s">
        <v>53</v>
      </c>
      <c r="AL23" s="3" t="s">
        <v>942</v>
      </c>
      <c r="AM23" s="3" t="s">
        <v>53</v>
      </c>
      <c r="AN23" s="3" t="s">
        <v>756</v>
      </c>
      <c r="AO23" s="3" t="s">
        <v>53</v>
      </c>
      <c r="AP23" s="3" t="s">
        <v>310</v>
      </c>
      <c r="AQ23" s="3" t="s">
        <v>53</v>
      </c>
      <c r="AR23" s="3" t="s">
        <v>408</v>
      </c>
      <c r="AS23" s="3" t="s">
        <v>53</v>
      </c>
      <c r="AT23" s="3" t="s">
        <v>317</v>
      </c>
      <c r="AU23" s="3" t="s">
        <v>53</v>
      </c>
      <c r="AV23" s="3" t="s">
        <v>943</v>
      </c>
      <c r="AW23" s="3" t="s">
        <v>53</v>
      </c>
      <c r="AX23" s="3" t="s">
        <v>613</v>
      </c>
      <c r="AY23" s="3" t="s">
        <v>53</v>
      </c>
      <c r="AZ23" s="3" t="s">
        <v>915</v>
      </c>
      <c r="BA23" s="3" t="s">
        <v>53</v>
      </c>
      <c r="BB23" s="3" t="s">
        <v>216</v>
      </c>
      <c r="BC23" s="3" t="s">
        <v>53</v>
      </c>
      <c r="BD23" s="3" t="s">
        <v>227</v>
      </c>
      <c r="BE23" s="3" t="s">
        <v>53</v>
      </c>
      <c r="BF23" s="3" t="s">
        <v>216</v>
      </c>
      <c r="BG23" s="3" t="s">
        <v>53</v>
      </c>
      <c r="BH23" s="3" t="s">
        <v>209</v>
      </c>
      <c r="BI23" s="3" t="s">
        <v>53</v>
      </c>
      <c r="BJ23" s="3" t="s">
        <v>376</v>
      </c>
      <c r="BK23" s="3" t="s">
        <v>53</v>
      </c>
      <c r="BL23" s="3" t="s">
        <v>343</v>
      </c>
      <c r="BM23" s="3" t="s">
        <v>53</v>
      </c>
      <c r="BN23" s="3" t="s">
        <v>249</v>
      </c>
      <c r="BO23" s="3" t="s">
        <v>53</v>
      </c>
      <c r="BP23" s="3" t="s">
        <v>944</v>
      </c>
      <c r="BQ23" s="3" t="s">
        <v>53</v>
      </c>
      <c r="BR23" s="3" t="s">
        <v>762</v>
      </c>
      <c r="BS23" s="3" t="s">
        <v>53</v>
      </c>
      <c r="BT23" s="3" t="s">
        <v>331</v>
      </c>
      <c r="BU23" s="3" t="s">
        <v>53</v>
      </c>
      <c r="BV23" s="3" t="s">
        <v>568</v>
      </c>
      <c r="BW23" s="3" t="s">
        <v>53</v>
      </c>
      <c r="BX23" s="3" t="s">
        <v>522</v>
      </c>
      <c r="BY23" s="3" t="s">
        <v>53</v>
      </c>
      <c r="BZ23" s="3" t="s">
        <v>945</v>
      </c>
      <c r="CA23" s="3" t="s">
        <v>53</v>
      </c>
      <c r="CB23" s="3" t="s">
        <v>946</v>
      </c>
      <c r="CC23" s="3" t="s">
        <v>53</v>
      </c>
      <c r="CD23" s="3" t="s">
        <v>947</v>
      </c>
      <c r="CE23" s="3" t="s">
        <v>53</v>
      </c>
      <c r="CF23" s="3" t="s">
        <v>346</v>
      </c>
      <c r="CG23" s="3" t="s">
        <v>53</v>
      </c>
      <c r="CH23" s="3" t="s">
        <v>262</v>
      </c>
    </row>
    <row r="24" spans="1:86" x14ac:dyDescent="0.55000000000000004">
      <c r="A24" s="3" t="s">
        <v>332</v>
      </c>
      <c r="B24" s="3" t="s">
        <v>333</v>
      </c>
      <c r="C24" s="3" t="s">
        <v>51</v>
      </c>
      <c r="D24" s="3" t="s">
        <v>52</v>
      </c>
      <c r="E24" s="3" t="s">
        <v>73</v>
      </c>
      <c r="F24" s="3" t="s">
        <v>839</v>
      </c>
      <c r="G24" s="3" t="s">
        <v>50</v>
      </c>
      <c r="H24" s="3" t="s">
        <v>55</v>
      </c>
      <c r="I24" s="3" t="s">
        <v>56</v>
      </c>
      <c r="J24" s="3" t="s">
        <v>57</v>
      </c>
      <c r="K24" s="3" t="s">
        <v>74</v>
      </c>
      <c r="L24" s="3" t="s">
        <v>52</v>
      </c>
      <c r="M24" s="3" t="s">
        <v>51</v>
      </c>
      <c r="N24" s="3" t="s">
        <v>59</v>
      </c>
      <c r="O24" s="3" t="s">
        <v>53</v>
      </c>
      <c r="P24" s="3" t="s">
        <v>238</v>
      </c>
      <c r="Q24" s="3" t="s">
        <v>53</v>
      </c>
      <c r="R24" s="3" t="s">
        <v>214</v>
      </c>
      <c r="S24" s="3" t="s">
        <v>53</v>
      </c>
      <c r="T24" s="3" t="s">
        <v>200</v>
      </c>
      <c r="U24" s="3" t="s">
        <v>53</v>
      </c>
      <c r="V24" s="3" t="s">
        <v>201</v>
      </c>
      <c r="W24" s="3" t="s">
        <v>53</v>
      </c>
      <c r="X24" s="3" t="s">
        <v>315</v>
      </c>
      <c r="Y24" s="3" t="s">
        <v>53</v>
      </c>
      <c r="Z24" s="3" t="s">
        <v>415</v>
      </c>
      <c r="AA24" s="3" t="s">
        <v>53</v>
      </c>
      <c r="AB24" s="3" t="s">
        <v>288</v>
      </c>
      <c r="AC24" s="3" t="s">
        <v>53</v>
      </c>
      <c r="AD24" s="3" t="s">
        <v>367</v>
      </c>
      <c r="AE24" s="3" t="s">
        <v>53</v>
      </c>
      <c r="AF24" s="3" t="s">
        <v>948</v>
      </c>
      <c r="AG24" s="3" t="s">
        <v>53</v>
      </c>
      <c r="AH24" s="3" t="s">
        <v>949</v>
      </c>
      <c r="AI24" s="3" t="s">
        <v>53</v>
      </c>
      <c r="AJ24" s="3" t="s">
        <v>950</v>
      </c>
      <c r="AK24" s="3" t="s">
        <v>53</v>
      </c>
      <c r="AL24" s="3" t="s">
        <v>951</v>
      </c>
      <c r="AM24" s="3" t="s">
        <v>53</v>
      </c>
      <c r="AN24" s="3" t="s">
        <v>618</v>
      </c>
      <c r="AO24" s="3" t="s">
        <v>53</v>
      </c>
      <c r="AP24" s="3" t="s">
        <v>317</v>
      </c>
      <c r="AQ24" s="3" t="s">
        <v>53</v>
      </c>
      <c r="AR24" s="3" t="s">
        <v>656</v>
      </c>
      <c r="AS24" s="3" t="s">
        <v>53</v>
      </c>
      <c r="AT24" s="3" t="s">
        <v>299</v>
      </c>
      <c r="AU24" s="3" t="s">
        <v>53</v>
      </c>
      <c r="AV24" s="3" t="s">
        <v>952</v>
      </c>
      <c r="AW24" s="3" t="s">
        <v>53</v>
      </c>
      <c r="AX24" s="3" t="s">
        <v>268</v>
      </c>
      <c r="AY24" s="3" t="s">
        <v>53</v>
      </c>
      <c r="AZ24" s="3" t="s">
        <v>953</v>
      </c>
      <c r="BA24" s="3" t="s">
        <v>53</v>
      </c>
      <c r="BB24" s="3" t="s">
        <v>234</v>
      </c>
      <c r="BC24" s="3" t="s">
        <v>53</v>
      </c>
      <c r="BD24" s="3" t="s">
        <v>227</v>
      </c>
      <c r="BE24" s="3" t="s">
        <v>53</v>
      </c>
      <c r="BF24" s="3" t="s">
        <v>216</v>
      </c>
      <c r="BG24" s="3" t="s">
        <v>53</v>
      </c>
      <c r="BH24" s="3" t="s">
        <v>234</v>
      </c>
      <c r="BI24" s="3" t="s">
        <v>53</v>
      </c>
      <c r="BJ24" s="3" t="s">
        <v>243</v>
      </c>
      <c r="BK24" s="3" t="s">
        <v>53</v>
      </c>
      <c r="BL24" s="3" t="s">
        <v>244</v>
      </c>
      <c r="BM24" s="3" t="s">
        <v>53</v>
      </c>
      <c r="BN24" s="3" t="s">
        <v>219</v>
      </c>
      <c r="BO24" s="3" t="s">
        <v>53</v>
      </c>
      <c r="BP24" s="3" t="s">
        <v>954</v>
      </c>
      <c r="BQ24" s="3" t="s">
        <v>53</v>
      </c>
      <c r="BR24" s="3" t="s">
        <v>955</v>
      </c>
      <c r="BS24" s="3" t="s">
        <v>53</v>
      </c>
      <c r="BT24" s="3" t="s">
        <v>229</v>
      </c>
      <c r="BU24" s="3" t="s">
        <v>53</v>
      </c>
      <c r="BV24" s="3" t="s">
        <v>797</v>
      </c>
      <c r="BW24" s="3" t="s">
        <v>53</v>
      </c>
      <c r="BX24" s="3" t="s">
        <v>355</v>
      </c>
      <c r="BY24" s="3" t="s">
        <v>53</v>
      </c>
      <c r="BZ24" s="3" t="s">
        <v>350</v>
      </c>
      <c r="CA24" s="3" t="s">
        <v>53</v>
      </c>
      <c r="CB24" s="3" t="s">
        <v>690</v>
      </c>
      <c r="CC24" s="3" t="s">
        <v>53</v>
      </c>
      <c r="CD24" s="3" t="s">
        <v>421</v>
      </c>
      <c r="CE24" s="3" t="s">
        <v>53</v>
      </c>
      <c r="CF24" s="3" t="s">
        <v>725</v>
      </c>
      <c r="CG24" s="3" t="s">
        <v>53</v>
      </c>
      <c r="CH24" s="3" t="s">
        <v>221</v>
      </c>
    </row>
    <row r="25" spans="1:86" x14ac:dyDescent="0.55000000000000004">
      <c r="A25" s="3" t="s">
        <v>956</v>
      </c>
      <c r="B25" s="3" t="s">
        <v>957</v>
      </c>
      <c r="C25" s="3" t="s">
        <v>68</v>
      </c>
      <c r="D25" s="3" t="s">
        <v>52</v>
      </c>
      <c r="E25" s="3" t="s">
        <v>73</v>
      </c>
      <c r="F25" s="3" t="s">
        <v>726</v>
      </c>
      <c r="G25" s="3" t="s">
        <v>50</v>
      </c>
      <c r="H25" s="3" t="s">
        <v>55</v>
      </c>
      <c r="I25" s="3" t="s">
        <v>56</v>
      </c>
      <c r="J25" s="3" t="s">
        <v>60</v>
      </c>
      <c r="K25" s="3" t="s">
        <v>58</v>
      </c>
      <c r="L25" s="3" t="s">
        <v>52</v>
      </c>
      <c r="M25" s="3" t="s">
        <v>68</v>
      </c>
      <c r="N25" s="3" t="s">
        <v>72</v>
      </c>
      <c r="O25" s="3" t="s">
        <v>53</v>
      </c>
      <c r="P25" s="3" t="s">
        <v>238</v>
      </c>
      <c r="Q25" s="3" t="s">
        <v>53</v>
      </c>
      <c r="R25" s="3" t="s">
        <v>214</v>
      </c>
      <c r="S25" s="3" t="s">
        <v>53</v>
      </c>
      <c r="T25" s="3" t="s">
        <v>200</v>
      </c>
      <c r="U25" s="3" t="s">
        <v>53</v>
      </c>
      <c r="V25" s="3" t="s">
        <v>201</v>
      </c>
      <c r="W25" s="3" t="s">
        <v>53</v>
      </c>
      <c r="X25" s="3" t="s">
        <v>346</v>
      </c>
      <c r="Y25" s="3" t="s">
        <v>53</v>
      </c>
      <c r="Z25" s="3" t="s">
        <v>239</v>
      </c>
      <c r="AA25" s="3" t="s">
        <v>53</v>
      </c>
      <c r="AB25" s="3" t="s">
        <v>220</v>
      </c>
      <c r="AC25" s="3" t="s">
        <v>53</v>
      </c>
      <c r="AD25" s="3" t="s">
        <v>267</v>
      </c>
      <c r="AE25" s="3" t="s">
        <v>53</v>
      </c>
      <c r="AF25" s="3" t="s">
        <v>958</v>
      </c>
      <c r="AG25" s="3" t="s">
        <v>53</v>
      </c>
      <c r="AH25" s="3" t="s">
        <v>959</v>
      </c>
      <c r="AI25" s="3" t="s">
        <v>53</v>
      </c>
      <c r="AJ25" s="3" t="s">
        <v>960</v>
      </c>
      <c r="AK25" s="3" t="s">
        <v>53</v>
      </c>
      <c r="AL25" s="3" t="s">
        <v>961</v>
      </c>
      <c r="AM25" s="3" t="s">
        <v>53</v>
      </c>
      <c r="AN25" s="3" t="s">
        <v>962</v>
      </c>
      <c r="AO25" s="3" t="s">
        <v>53</v>
      </c>
      <c r="AP25" s="3" t="s">
        <v>383</v>
      </c>
      <c r="AQ25" s="3" t="s">
        <v>53</v>
      </c>
      <c r="AR25" s="3" t="s">
        <v>667</v>
      </c>
      <c r="AS25" s="3" t="s">
        <v>53</v>
      </c>
      <c r="AT25" s="3" t="s">
        <v>271</v>
      </c>
      <c r="AU25" s="3" t="s">
        <v>53</v>
      </c>
      <c r="AV25" s="3" t="s">
        <v>963</v>
      </c>
      <c r="AW25" s="3" t="s">
        <v>53</v>
      </c>
      <c r="AX25" s="3" t="s">
        <v>226</v>
      </c>
      <c r="AY25" s="3" t="s">
        <v>53</v>
      </c>
      <c r="AZ25" s="3" t="s">
        <v>964</v>
      </c>
      <c r="BA25" s="3" t="s">
        <v>53</v>
      </c>
      <c r="BB25" s="3" t="s">
        <v>216</v>
      </c>
      <c r="BC25" s="3" t="s">
        <v>53</v>
      </c>
      <c r="BD25" s="3" t="s">
        <v>227</v>
      </c>
      <c r="BE25" s="3" t="s">
        <v>53</v>
      </c>
      <c r="BF25" s="3" t="s">
        <v>216</v>
      </c>
      <c r="BG25" s="3" t="s">
        <v>53</v>
      </c>
      <c r="BH25" s="3" t="s">
        <v>242</v>
      </c>
      <c r="BI25" s="3" t="s">
        <v>53</v>
      </c>
      <c r="BJ25" s="3" t="s">
        <v>290</v>
      </c>
      <c r="BK25" s="3" t="s">
        <v>53</v>
      </c>
      <c r="BL25" s="3" t="s">
        <v>275</v>
      </c>
      <c r="BM25" s="3" t="s">
        <v>53</v>
      </c>
      <c r="BN25" s="3" t="s">
        <v>230</v>
      </c>
      <c r="BO25" s="3" t="s">
        <v>53</v>
      </c>
      <c r="BP25" s="3" t="s">
        <v>965</v>
      </c>
      <c r="BQ25" s="3" t="s">
        <v>53</v>
      </c>
      <c r="BR25" s="3" t="s">
        <v>860</v>
      </c>
      <c r="BS25" s="3" t="s">
        <v>53</v>
      </c>
      <c r="BT25" s="3" t="s">
        <v>374</v>
      </c>
      <c r="BU25" s="3" t="s">
        <v>53</v>
      </c>
      <c r="BV25" s="3" t="s">
        <v>513</v>
      </c>
      <c r="BW25" s="3" t="s">
        <v>53</v>
      </c>
      <c r="BX25" s="3" t="s">
        <v>587</v>
      </c>
      <c r="BY25" s="3" t="s">
        <v>53</v>
      </c>
      <c r="BZ25" s="3" t="s">
        <v>966</v>
      </c>
      <c r="CA25" s="3" t="s">
        <v>53</v>
      </c>
      <c r="CB25" s="3" t="s">
        <v>967</v>
      </c>
      <c r="CC25" s="3" t="s">
        <v>53</v>
      </c>
      <c r="CD25" s="3" t="s">
        <v>700</v>
      </c>
      <c r="CE25" s="3" t="s">
        <v>53</v>
      </c>
      <c r="CF25" s="3" t="s">
        <v>525</v>
      </c>
      <c r="CG25" s="3" t="s">
        <v>53</v>
      </c>
      <c r="CH25" s="3" t="s">
        <v>275</v>
      </c>
    </row>
    <row r="26" spans="1:86" x14ac:dyDescent="0.55000000000000004">
      <c r="A26" s="3" t="s">
        <v>335</v>
      </c>
      <c r="B26" s="3" t="s">
        <v>336</v>
      </c>
      <c r="C26" s="3" t="s">
        <v>372</v>
      </c>
      <c r="D26" s="3" t="s">
        <v>52</v>
      </c>
      <c r="E26" s="3" t="s">
        <v>54</v>
      </c>
      <c r="F26" s="3" t="s">
        <v>710</v>
      </c>
      <c r="G26" s="3" t="s">
        <v>50</v>
      </c>
      <c r="H26" s="3" t="s">
        <v>77</v>
      </c>
      <c r="I26" s="3" t="s">
        <v>56</v>
      </c>
      <c r="J26" s="3" t="s">
        <v>78</v>
      </c>
      <c r="K26" s="3" t="s">
        <v>79</v>
      </c>
      <c r="L26" s="3" t="s">
        <v>52</v>
      </c>
      <c r="M26" s="3" t="s">
        <v>372</v>
      </c>
      <c r="N26" s="3" t="s">
        <v>627</v>
      </c>
      <c r="O26" s="3" t="s">
        <v>53</v>
      </c>
      <c r="P26" s="3" t="s">
        <v>201</v>
      </c>
      <c r="Q26" s="3" t="s">
        <v>53</v>
      </c>
      <c r="R26" s="3" t="s">
        <v>202</v>
      </c>
      <c r="S26" s="3" t="s">
        <v>53</v>
      </c>
      <c r="T26" s="3" t="s">
        <v>203</v>
      </c>
      <c r="U26" s="3" t="s">
        <v>53</v>
      </c>
      <c r="V26" s="3" t="s">
        <v>337</v>
      </c>
      <c r="W26" s="3" t="s">
        <v>53</v>
      </c>
      <c r="X26" s="3" t="s">
        <v>345</v>
      </c>
      <c r="Y26" s="3" t="s">
        <v>53</v>
      </c>
      <c r="Z26" s="3" t="s">
        <v>346</v>
      </c>
      <c r="AA26" s="3" t="s">
        <v>53</v>
      </c>
      <c r="AB26" s="3" t="s">
        <v>204</v>
      </c>
      <c r="AC26" s="3" t="s">
        <v>53</v>
      </c>
      <c r="AD26" s="3" t="s">
        <v>367</v>
      </c>
      <c r="AE26" s="3" t="s">
        <v>53</v>
      </c>
      <c r="AF26" s="3" t="s">
        <v>968</v>
      </c>
      <c r="AG26" s="3" t="s">
        <v>53</v>
      </c>
      <c r="AH26" s="3" t="s">
        <v>969</v>
      </c>
      <c r="AI26" s="3" t="s">
        <v>53</v>
      </c>
      <c r="AJ26" s="3" t="s">
        <v>970</v>
      </c>
      <c r="AK26" s="3" t="s">
        <v>53</v>
      </c>
      <c r="AL26" s="3" t="s">
        <v>971</v>
      </c>
      <c r="AM26" s="3" t="s">
        <v>53</v>
      </c>
      <c r="AN26" s="3" t="s">
        <v>611</v>
      </c>
      <c r="AO26" s="3" t="s">
        <v>53</v>
      </c>
      <c r="AP26" s="3" t="s">
        <v>972</v>
      </c>
      <c r="AQ26" s="3" t="s">
        <v>53</v>
      </c>
      <c r="AR26" s="3" t="s">
        <v>973</v>
      </c>
      <c r="AS26" s="3" t="s">
        <v>53</v>
      </c>
      <c r="AT26" s="3" t="s">
        <v>206</v>
      </c>
      <c r="AU26" s="3" t="s">
        <v>53</v>
      </c>
      <c r="AV26" s="3" t="s">
        <v>974</v>
      </c>
      <c r="AW26" s="3" t="s">
        <v>53</v>
      </c>
      <c r="AX26" s="3" t="s">
        <v>283</v>
      </c>
      <c r="AY26" s="3" t="s">
        <v>53</v>
      </c>
      <c r="AZ26" s="3" t="s">
        <v>975</v>
      </c>
      <c r="BA26" s="3" t="s">
        <v>53</v>
      </c>
      <c r="BB26" s="3" t="s">
        <v>253</v>
      </c>
      <c r="BC26" s="3" t="s">
        <v>53</v>
      </c>
      <c r="BD26" s="3" t="s">
        <v>227</v>
      </c>
      <c r="BE26" s="3" t="s">
        <v>53</v>
      </c>
      <c r="BF26" s="3" t="s">
        <v>208</v>
      </c>
      <c r="BG26" s="3" t="s">
        <v>53</v>
      </c>
      <c r="BH26" s="3" t="s">
        <v>241</v>
      </c>
      <c r="BI26" s="3" t="s">
        <v>53</v>
      </c>
      <c r="BJ26" s="3" t="s">
        <v>284</v>
      </c>
      <c r="BK26" s="3" t="s">
        <v>53</v>
      </c>
      <c r="BL26" s="3" t="s">
        <v>416</v>
      </c>
      <c r="BM26" s="3" t="s">
        <v>53</v>
      </c>
      <c r="BN26" s="3" t="s">
        <v>228</v>
      </c>
      <c r="BO26" s="3" t="s">
        <v>53</v>
      </c>
      <c r="BP26" s="3" t="s">
        <v>976</v>
      </c>
      <c r="BQ26" s="3" t="s">
        <v>53</v>
      </c>
      <c r="BR26" s="3" t="s">
        <v>977</v>
      </c>
      <c r="BS26" s="3" t="s">
        <v>53</v>
      </c>
      <c r="BT26" s="3" t="s">
        <v>236</v>
      </c>
      <c r="BU26" s="3" t="s">
        <v>53</v>
      </c>
      <c r="BV26" s="3" t="s">
        <v>978</v>
      </c>
      <c r="BW26" s="3" t="s">
        <v>53</v>
      </c>
      <c r="BX26" s="3" t="s">
        <v>979</v>
      </c>
      <c r="BY26" s="3" t="s">
        <v>53</v>
      </c>
      <c r="BZ26" s="3" t="s">
        <v>418</v>
      </c>
      <c r="CA26" s="3" t="s">
        <v>53</v>
      </c>
      <c r="CB26" s="3" t="s">
        <v>360</v>
      </c>
      <c r="CC26" s="3" t="s">
        <v>53</v>
      </c>
      <c r="CD26" s="3" t="s">
        <v>660</v>
      </c>
      <c r="CE26" s="3" t="s">
        <v>53</v>
      </c>
      <c r="CF26" s="3" t="s">
        <v>631</v>
      </c>
      <c r="CG26" s="3" t="s">
        <v>53</v>
      </c>
      <c r="CH26" s="3" t="s">
        <v>282</v>
      </c>
    </row>
    <row r="27" spans="1:86" x14ac:dyDescent="0.55000000000000004">
      <c r="A27" s="3" t="s">
        <v>409</v>
      </c>
      <c r="B27" s="3" t="s">
        <v>410</v>
      </c>
      <c r="C27" s="3" t="s">
        <v>68</v>
      </c>
      <c r="D27" s="3" t="s">
        <v>52</v>
      </c>
      <c r="E27" s="3" t="s">
        <v>73</v>
      </c>
      <c r="F27" s="3" t="s">
        <v>771</v>
      </c>
      <c r="G27" s="3" t="s">
        <v>50</v>
      </c>
      <c r="H27" s="3" t="s">
        <v>55</v>
      </c>
      <c r="I27" s="3" t="s">
        <v>56</v>
      </c>
      <c r="J27" s="3" t="s">
        <v>60</v>
      </c>
      <c r="K27" s="3" t="s">
        <v>58</v>
      </c>
      <c r="L27" s="3" t="s">
        <v>52</v>
      </c>
      <c r="M27" s="3" t="s">
        <v>68</v>
      </c>
      <c r="N27" s="3" t="s">
        <v>69</v>
      </c>
      <c r="O27" s="3" t="s">
        <v>53</v>
      </c>
      <c r="P27" s="3" t="s">
        <v>238</v>
      </c>
      <c r="Q27" s="3" t="s">
        <v>53</v>
      </c>
      <c r="R27" s="3" t="s">
        <v>214</v>
      </c>
      <c r="S27" s="3" t="s">
        <v>53</v>
      </c>
      <c r="T27" s="3" t="s">
        <v>200</v>
      </c>
      <c r="U27" s="3" t="s">
        <v>53</v>
      </c>
      <c r="V27" s="3" t="s">
        <v>201</v>
      </c>
      <c r="W27" s="3" t="s">
        <v>53</v>
      </c>
      <c r="X27" s="3" t="s">
        <v>772</v>
      </c>
      <c r="Y27" s="3" t="s">
        <v>53</v>
      </c>
      <c r="Z27" s="3" t="s">
        <v>725</v>
      </c>
      <c r="AA27" s="3" t="s">
        <v>53</v>
      </c>
      <c r="AB27" s="3" t="s">
        <v>622</v>
      </c>
      <c r="AC27" s="3" t="s">
        <v>53</v>
      </c>
      <c r="AD27" s="3" t="s">
        <v>315</v>
      </c>
      <c r="AE27" s="3" t="s">
        <v>53</v>
      </c>
      <c r="AF27" s="3" t="s">
        <v>980</v>
      </c>
      <c r="AG27" s="3" t="s">
        <v>53</v>
      </c>
      <c r="AH27" s="3" t="s">
        <v>981</v>
      </c>
      <c r="AI27" s="3" t="s">
        <v>53</v>
      </c>
      <c r="AJ27" s="3" t="s">
        <v>982</v>
      </c>
      <c r="AK27" s="3" t="s">
        <v>53</v>
      </c>
      <c r="AL27" s="3" t="s">
        <v>983</v>
      </c>
      <c r="AM27" s="3" t="s">
        <v>53</v>
      </c>
      <c r="AN27" s="3" t="s">
        <v>984</v>
      </c>
      <c r="AO27" s="3" t="s">
        <v>53</v>
      </c>
      <c r="AP27" s="3" t="s">
        <v>746</v>
      </c>
      <c r="AQ27" s="3" t="s">
        <v>53</v>
      </c>
      <c r="AR27" s="3" t="s">
        <v>635</v>
      </c>
      <c r="AS27" s="3" t="s">
        <v>53</v>
      </c>
      <c r="AT27" s="3" t="s">
        <v>225</v>
      </c>
      <c r="AU27" s="3" t="s">
        <v>53</v>
      </c>
      <c r="AV27" s="3" t="s">
        <v>985</v>
      </c>
      <c r="AW27" s="3" t="s">
        <v>53</v>
      </c>
      <c r="AX27" s="3" t="s">
        <v>559</v>
      </c>
      <c r="AY27" s="3" t="s">
        <v>53</v>
      </c>
      <c r="AZ27" s="3" t="s">
        <v>986</v>
      </c>
      <c r="BA27" s="3" t="s">
        <v>53</v>
      </c>
      <c r="BB27" s="3" t="s">
        <v>253</v>
      </c>
      <c r="BC27" s="3" t="s">
        <v>53</v>
      </c>
      <c r="BD27" s="3" t="s">
        <v>227</v>
      </c>
      <c r="BE27" s="3" t="s">
        <v>53</v>
      </c>
      <c r="BF27" s="3" t="s">
        <v>234</v>
      </c>
      <c r="BG27" s="3" t="s">
        <v>53</v>
      </c>
      <c r="BH27" s="3" t="s">
        <v>216</v>
      </c>
      <c r="BI27" s="3" t="s">
        <v>53</v>
      </c>
      <c r="BJ27" s="3" t="s">
        <v>210</v>
      </c>
      <c r="BK27" s="3" t="s">
        <v>53</v>
      </c>
      <c r="BL27" s="3" t="s">
        <v>211</v>
      </c>
      <c r="BM27" s="3" t="s">
        <v>53</v>
      </c>
      <c r="BN27" s="3" t="s">
        <v>250</v>
      </c>
      <c r="BO27" s="3" t="s">
        <v>53</v>
      </c>
      <c r="BP27" s="3" t="s">
        <v>681</v>
      </c>
      <c r="BQ27" s="3" t="s">
        <v>53</v>
      </c>
      <c r="BR27" s="3" t="s">
        <v>806</v>
      </c>
      <c r="BS27" s="3" t="s">
        <v>53</v>
      </c>
      <c r="BT27" s="3" t="s">
        <v>391</v>
      </c>
      <c r="BU27" s="3" t="s">
        <v>53</v>
      </c>
      <c r="BV27" s="3" t="s">
        <v>301</v>
      </c>
      <c r="BW27" s="3" t="s">
        <v>53</v>
      </c>
      <c r="BX27" s="3" t="s">
        <v>351</v>
      </c>
      <c r="BY27" s="3" t="s">
        <v>53</v>
      </c>
      <c r="BZ27" s="3" t="s">
        <v>655</v>
      </c>
      <c r="CA27" s="3" t="s">
        <v>53</v>
      </c>
      <c r="CB27" s="3" t="s">
        <v>316</v>
      </c>
      <c r="CC27" s="3" t="s">
        <v>53</v>
      </c>
      <c r="CD27" s="3" t="s">
        <v>557</v>
      </c>
      <c r="CE27" s="3" t="s">
        <v>53</v>
      </c>
      <c r="CF27" s="3" t="s">
        <v>292</v>
      </c>
      <c r="CG27" s="3" t="s">
        <v>53</v>
      </c>
      <c r="CH27" s="3" t="s">
        <v>368</v>
      </c>
    </row>
    <row r="28" spans="1:86" x14ac:dyDescent="0.55000000000000004">
      <c r="A28" s="3" t="s">
        <v>560</v>
      </c>
      <c r="B28" s="3" t="s">
        <v>561</v>
      </c>
      <c r="C28" s="3" t="s">
        <v>61</v>
      </c>
      <c r="D28" s="3" t="s">
        <v>52</v>
      </c>
      <c r="E28" s="3" t="s">
        <v>73</v>
      </c>
      <c r="F28" s="3" t="s">
        <v>710</v>
      </c>
      <c r="G28" s="3" t="s">
        <v>50</v>
      </c>
      <c r="H28" s="3" t="s">
        <v>55</v>
      </c>
      <c r="I28" s="3" t="s">
        <v>56</v>
      </c>
      <c r="J28" s="3" t="s">
        <v>57</v>
      </c>
      <c r="K28" s="3" t="s">
        <v>74</v>
      </c>
      <c r="L28" s="3" t="s">
        <v>52</v>
      </c>
      <c r="M28" s="3" t="s">
        <v>61</v>
      </c>
      <c r="N28" s="3" t="s">
        <v>59</v>
      </c>
      <c r="O28" s="3" t="s">
        <v>53</v>
      </c>
      <c r="P28" s="3" t="s">
        <v>214</v>
      </c>
      <c r="Q28" s="3" t="s">
        <v>53</v>
      </c>
      <c r="R28" s="3" t="s">
        <v>200</v>
      </c>
      <c r="S28" s="3" t="s">
        <v>53</v>
      </c>
      <c r="T28" s="3" t="s">
        <v>201</v>
      </c>
      <c r="U28" s="3" t="s">
        <v>53</v>
      </c>
      <c r="V28" s="3" t="s">
        <v>202</v>
      </c>
      <c r="W28" s="3" t="s">
        <v>53</v>
      </c>
      <c r="X28" s="3" t="s">
        <v>388</v>
      </c>
      <c r="Y28" s="3" t="s">
        <v>53</v>
      </c>
      <c r="Z28" s="3" t="s">
        <v>423</v>
      </c>
      <c r="AA28" s="3" t="s">
        <v>53</v>
      </c>
      <c r="AB28" s="3" t="s">
        <v>415</v>
      </c>
      <c r="AC28" s="3" t="s">
        <v>53</v>
      </c>
      <c r="AD28" s="3" t="s">
        <v>265</v>
      </c>
      <c r="AE28" s="3" t="s">
        <v>53</v>
      </c>
      <c r="AF28" s="3" t="s">
        <v>987</v>
      </c>
      <c r="AG28" s="3" t="s">
        <v>53</v>
      </c>
      <c r="AH28" s="3" t="s">
        <v>988</v>
      </c>
      <c r="AI28" s="3" t="s">
        <v>53</v>
      </c>
      <c r="AJ28" s="3" t="s">
        <v>989</v>
      </c>
      <c r="AK28" s="3" t="s">
        <v>53</v>
      </c>
      <c r="AL28" s="3" t="s">
        <v>990</v>
      </c>
      <c r="AM28" s="3" t="s">
        <v>53</v>
      </c>
      <c r="AN28" s="3" t="s">
        <v>264</v>
      </c>
      <c r="AO28" s="3" t="s">
        <v>53</v>
      </c>
      <c r="AP28" s="3" t="s">
        <v>512</v>
      </c>
      <c r="AQ28" s="3" t="s">
        <v>53</v>
      </c>
      <c r="AR28" s="3" t="s">
        <v>750</v>
      </c>
      <c r="AS28" s="3" t="s">
        <v>53</v>
      </c>
      <c r="AT28" s="3" t="s">
        <v>326</v>
      </c>
      <c r="AU28" s="3" t="s">
        <v>53</v>
      </c>
      <c r="AV28" s="3" t="s">
        <v>991</v>
      </c>
      <c r="AW28" s="3" t="s">
        <v>53</v>
      </c>
      <c r="AX28" s="3" t="s">
        <v>402</v>
      </c>
      <c r="AY28" s="3" t="s">
        <v>53</v>
      </c>
      <c r="AZ28" s="3" t="s">
        <v>992</v>
      </c>
      <c r="BA28" s="3" t="s">
        <v>53</v>
      </c>
      <c r="BB28" s="3" t="s">
        <v>208</v>
      </c>
      <c r="BC28" s="3" t="s">
        <v>53</v>
      </c>
      <c r="BD28" s="3" t="s">
        <v>227</v>
      </c>
      <c r="BE28" s="3" t="s">
        <v>53</v>
      </c>
      <c r="BF28" s="3" t="s">
        <v>234</v>
      </c>
      <c r="BG28" s="3" t="s">
        <v>53</v>
      </c>
      <c r="BH28" s="3" t="s">
        <v>227</v>
      </c>
      <c r="BI28" s="3" t="s">
        <v>53</v>
      </c>
      <c r="BJ28" s="3" t="s">
        <v>284</v>
      </c>
      <c r="BK28" s="3" t="s">
        <v>53</v>
      </c>
      <c r="BL28" s="3" t="s">
        <v>416</v>
      </c>
      <c r="BM28" s="3" t="s">
        <v>53</v>
      </c>
      <c r="BN28" s="3" t="s">
        <v>228</v>
      </c>
      <c r="BO28" s="3" t="s">
        <v>53</v>
      </c>
      <c r="BP28" s="3" t="s">
        <v>927</v>
      </c>
      <c r="BQ28" s="3" t="s">
        <v>53</v>
      </c>
      <c r="BR28" s="3" t="s">
        <v>993</v>
      </c>
      <c r="BS28" s="3" t="s">
        <v>53</v>
      </c>
      <c r="BT28" s="3" t="s">
        <v>229</v>
      </c>
      <c r="BU28" s="3" t="s">
        <v>53</v>
      </c>
      <c r="BV28" s="3" t="s">
        <v>610</v>
      </c>
      <c r="BW28" s="3" t="s">
        <v>53</v>
      </c>
      <c r="BX28" s="3" t="s">
        <v>417</v>
      </c>
      <c r="BY28" s="3" t="s">
        <v>53</v>
      </c>
      <c r="BZ28" s="3" t="s">
        <v>994</v>
      </c>
      <c r="CA28" s="3" t="s">
        <v>53</v>
      </c>
      <c r="CB28" s="3" t="s">
        <v>995</v>
      </c>
      <c r="CC28" s="3" t="s">
        <v>53</v>
      </c>
      <c r="CD28" s="3" t="s">
        <v>328</v>
      </c>
      <c r="CE28" s="3" t="s">
        <v>53</v>
      </c>
      <c r="CF28" s="3" t="s">
        <v>205</v>
      </c>
      <c r="CG28" s="3" t="s">
        <v>53</v>
      </c>
      <c r="CH28" s="3" t="s">
        <v>343</v>
      </c>
    </row>
    <row r="29" spans="1:86" x14ac:dyDescent="0.55000000000000004">
      <c r="A29" s="3" t="s">
        <v>658</v>
      </c>
      <c r="B29" s="3" t="s">
        <v>659</v>
      </c>
      <c r="C29" s="3" t="s">
        <v>372</v>
      </c>
      <c r="D29" s="3" t="s">
        <v>65</v>
      </c>
      <c r="E29" s="3" t="s">
        <v>85</v>
      </c>
      <c r="F29" s="3" t="s">
        <v>741</v>
      </c>
      <c r="G29" s="3" t="s">
        <v>50</v>
      </c>
      <c r="H29" s="3" t="s">
        <v>77</v>
      </c>
      <c r="I29" s="3" t="s">
        <v>56</v>
      </c>
      <c r="J29" s="3" t="s">
        <v>78</v>
      </c>
      <c r="K29" s="3" t="s">
        <v>79</v>
      </c>
      <c r="L29" s="3" t="s">
        <v>65</v>
      </c>
      <c r="M29" s="3" t="s">
        <v>372</v>
      </c>
      <c r="N29" s="3" t="s">
        <v>627</v>
      </c>
      <c r="O29" s="3" t="s">
        <v>53</v>
      </c>
      <c r="P29" s="3" t="s">
        <v>200</v>
      </c>
      <c r="Q29" s="3" t="s">
        <v>53</v>
      </c>
      <c r="R29" s="3" t="s">
        <v>201</v>
      </c>
      <c r="S29" s="3" t="s">
        <v>53</v>
      </c>
      <c r="T29" s="3" t="s">
        <v>202</v>
      </c>
      <c r="U29" s="3" t="s">
        <v>53</v>
      </c>
      <c r="V29" s="3" t="s">
        <v>203</v>
      </c>
      <c r="W29" s="3" t="s">
        <v>53</v>
      </c>
      <c r="X29" s="3" t="s">
        <v>415</v>
      </c>
      <c r="Y29" s="3" t="s">
        <v>53</v>
      </c>
      <c r="Z29" s="3" t="s">
        <v>320</v>
      </c>
      <c r="AA29" s="3" t="s">
        <v>53</v>
      </c>
      <c r="AB29" s="3" t="s">
        <v>347</v>
      </c>
      <c r="AC29" s="3" t="s">
        <v>53</v>
      </c>
      <c r="AD29" s="3" t="s">
        <v>256</v>
      </c>
      <c r="AE29" s="3" t="s">
        <v>53</v>
      </c>
      <c r="AF29" s="3" t="s">
        <v>996</v>
      </c>
      <c r="AG29" s="3" t="s">
        <v>53</v>
      </c>
      <c r="AH29" s="3" t="s">
        <v>997</v>
      </c>
      <c r="AI29" s="3" t="s">
        <v>53</v>
      </c>
      <c r="AJ29" s="3" t="s">
        <v>998</v>
      </c>
      <c r="AK29" s="3" t="s">
        <v>53</v>
      </c>
      <c r="AL29" s="3" t="s">
        <v>999</v>
      </c>
      <c r="AM29" s="3" t="s">
        <v>53</v>
      </c>
      <c r="AN29" s="3" t="s">
        <v>671</v>
      </c>
      <c r="AO29" s="3" t="s">
        <v>53</v>
      </c>
      <c r="AP29" s="3" t="s">
        <v>515</v>
      </c>
      <c r="AQ29" s="3" t="s">
        <v>53</v>
      </c>
      <c r="AR29" s="3" t="s">
        <v>349</v>
      </c>
      <c r="AS29" s="3" t="s">
        <v>53</v>
      </c>
      <c r="AT29" s="3" t="s">
        <v>383</v>
      </c>
      <c r="AU29" s="3" t="s">
        <v>53</v>
      </c>
      <c r="AV29" s="3" t="s">
        <v>1000</v>
      </c>
      <c r="AW29" s="3" t="s">
        <v>53</v>
      </c>
      <c r="AX29" s="3" t="s">
        <v>559</v>
      </c>
      <c r="AY29" s="3" t="s">
        <v>53</v>
      </c>
      <c r="AZ29" s="3" t="s">
        <v>1001</v>
      </c>
      <c r="BA29" s="3" t="s">
        <v>53</v>
      </c>
      <c r="BB29" s="3" t="s">
        <v>253</v>
      </c>
      <c r="BC29" s="3" t="s">
        <v>53</v>
      </c>
      <c r="BD29" s="3" t="s">
        <v>227</v>
      </c>
      <c r="BE29" s="3" t="s">
        <v>53</v>
      </c>
      <c r="BF29" s="3" t="s">
        <v>234</v>
      </c>
      <c r="BG29" s="3" t="s">
        <v>53</v>
      </c>
      <c r="BH29" s="3" t="s">
        <v>209</v>
      </c>
      <c r="BI29" s="3" t="s">
        <v>53</v>
      </c>
      <c r="BJ29" s="3" t="s">
        <v>243</v>
      </c>
      <c r="BK29" s="3" t="s">
        <v>53</v>
      </c>
      <c r="BL29" s="3" t="s">
        <v>244</v>
      </c>
      <c r="BM29" s="3" t="s">
        <v>53</v>
      </c>
      <c r="BN29" s="3" t="s">
        <v>330</v>
      </c>
      <c r="BO29" s="3" t="s">
        <v>53</v>
      </c>
      <c r="BP29" s="3" t="s">
        <v>1002</v>
      </c>
      <c r="BQ29" s="3" t="s">
        <v>53</v>
      </c>
      <c r="BR29" s="3" t="s">
        <v>1003</v>
      </c>
      <c r="BS29" s="3" t="s">
        <v>53</v>
      </c>
      <c r="BT29" s="3" t="s">
        <v>269</v>
      </c>
      <c r="BU29" s="3" t="s">
        <v>53</v>
      </c>
      <c r="BV29" s="3" t="s">
        <v>935</v>
      </c>
      <c r="BW29" s="3" t="s">
        <v>53</v>
      </c>
      <c r="BX29" s="3" t="s">
        <v>1004</v>
      </c>
      <c r="BY29" s="3" t="s">
        <v>53</v>
      </c>
      <c r="BZ29" s="3" t="s">
        <v>563</v>
      </c>
      <c r="CA29" s="3" t="s">
        <v>53</v>
      </c>
      <c r="CB29" s="3" t="s">
        <v>417</v>
      </c>
      <c r="CC29" s="3" t="s">
        <v>53</v>
      </c>
      <c r="CD29" s="3" t="s">
        <v>1005</v>
      </c>
      <c r="CE29" s="3" t="s">
        <v>53</v>
      </c>
      <c r="CF29" s="3" t="s">
        <v>257</v>
      </c>
      <c r="CG29" s="3" t="s">
        <v>53</v>
      </c>
      <c r="CH29" s="3" t="s">
        <v>1006</v>
      </c>
    </row>
    <row r="30" spans="1:86" x14ac:dyDescent="0.55000000000000004">
      <c r="A30" s="3" t="s">
        <v>661</v>
      </c>
      <c r="B30" s="3" t="s">
        <v>662</v>
      </c>
      <c r="C30" s="3" t="s">
        <v>68</v>
      </c>
      <c r="D30" s="3" t="s">
        <v>52</v>
      </c>
      <c r="E30" s="3" t="s">
        <v>73</v>
      </c>
      <c r="F30" s="3" t="s">
        <v>710</v>
      </c>
      <c r="G30" s="3" t="s">
        <v>50</v>
      </c>
      <c r="H30" s="3" t="s">
        <v>55</v>
      </c>
      <c r="I30" s="3" t="s">
        <v>56</v>
      </c>
      <c r="J30" s="3" t="s">
        <v>60</v>
      </c>
      <c r="K30" s="3" t="s">
        <v>58</v>
      </c>
      <c r="L30" s="3" t="s">
        <v>52</v>
      </c>
      <c r="M30" s="3" t="s">
        <v>68</v>
      </c>
      <c r="N30" s="3" t="s">
        <v>69</v>
      </c>
      <c r="O30" s="3" t="s">
        <v>53</v>
      </c>
      <c r="P30" s="3" t="s">
        <v>238</v>
      </c>
      <c r="Q30" s="3" t="s">
        <v>53</v>
      </c>
      <c r="R30" s="3" t="s">
        <v>214</v>
      </c>
      <c r="S30" s="3" t="s">
        <v>53</v>
      </c>
      <c r="T30" s="3" t="s">
        <v>200</v>
      </c>
      <c r="U30" s="3" t="s">
        <v>53</v>
      </c>
      <c r="V30" s="3" t="s">
        <v>201</v>
      </c>
      <c r="W30" s="3" t="s">
        <v>53</v>
      </c>
      <c r="X30" s="3" t="s">
        <v>544</v>
      </c>
      <c r="Y30" s="3" t="s">
        <v>53</v>
      </c>
      <c r="Z30" s="3" t="s">
        <v>315</v>
      </c>
      <c r="AA30" s="3" t="s">
        <v>53</v>
      </c>
      <c r="AB30" s="3" t="s">
        <v>371</v>
      </c>
      <c r="AC30" s="3" t="s">
        <v>53</v>
      </c>
      <c r="AD30" s="3" t="s">
        <v>205</v>
      </c>
      <c r="AE30" s="3" t="s">
        <v>53</v>
      </c>
      <c r="AF30" s="3" t="s">
        <v>1007</v>
      </c>
      <c r="AG30" s="3" t="s">
        <v>53</v>
      </c>
      <c r="AH30" s="3" t="s">
        <v>1008</v>
      </c>
      <c r="AI30" s="3" t="s">
        <v>53</v>
      </c>
      <c r="AJ30" s="3" t="s">
        <v>1009</v>
      </c>
      <c r="AK30" s="3" t="s">
        <v>53</v>
      </c>
      <c r="AL30" s="3" t="s">
        <v>1010</v>
      </c>
      <c r="AM30" s="3" t="s">
        <v>53</v>
      </c>
      <c r="AN30" s="3" t="s">
        <v>1011</v>
      </c>
      <c r="AO30" s="3" t="s">
        <v>53</v>
      </c>
      <c r="AP30" s="3" t="s">
        <v>299</v>
      </c>
      <c r="AQ30" s="3" t="s">
        <v>53</v>
      </c>
      <c r="AR30" s="3" t="s">
        <v>740</v>
      </c>
      <c r="AS30" s="3" t="s">
        <v>53</v>
      </c>
      <c r="AT30" s="3" t="s">
        <v>215</v>
      </c>
      <c r="AU30" s="3" t="s">
        <v>53</v>
      </c>
      <c r="AV30" s="3" t="s">
        <v>1012</v>
      </c>
      <c r="AW30" s="3" t="s">
        <v>53</v>
      </c>
      <c r="AX30" s="3" t="s">
        <v>608</v>
      </c>
      <c r="AY30" s="3" t="s">
        <v>53</v>
      </c>
      <c r="AZ30" s="3" t="s">
        <v>1013</v>
      </c>
      <c r="BA30" s="3" t="s">
        <v>53</v>
      </c>
      <c r="BB30" s="3" t="s">
        <v>234</v>
      </c>
      <c r="BC30" s="3" t="s">
        <v>53</v>
      </c>
      <c r="BD30" s="3" t="s">
        <v>253</v>
      </c>
      <c r="BE30" s="3" t="s">
        <v>53</v>
      </c>
      <c r="BF30" s="3" t="s">
        <v>209</v>
      </c>
      <c r="BG30" s="3" t="s">
        <v>53</v>
      </c>
      <c r="BH30" s="3" t="s">
        <v>253</v>
      </c>
      <c r="BI30" s="3" t="s">
        <v>53</v>
      </c>
      <c r="BJ30" s="3" t="s">
        <v>376</v>
      </c>
      <c r="BK30" s="3" t="s">
        <v>53</v>
      </c>
      <c r="BL30" s="3" t="s">
        <v>343</v>
      </c>
      <c r="BM30" s="3" t="s">
        <v>53</v>
      </c>
      <c r="BN30" s="3" t="s">
        <v>249</v>
      </c>
      <c r="BO30" s="3" t="s">
        <v>53</v>
      </c>
      <c r="BP30" s="3" t="s">
        <v>1014</v>
      </c>
      <c r="BQ30" s="3" t="s">
        <v>53</v>
      </c>
      <c r="BR30" s="3" t="s">
        <v>1015</v>
      </c>
      <c r="BS30" s="3" t="s">
        <v>53</v>
      </c>
      <c r="BT30" s="3" t="s">
        <v>331</v>
      </c>
      <c r="BU30" s="3" t="s">
        <v>53</v>
      </c>
      <c r="BV30" s="3" t="s">
        <v>1016</v>
      </c>
      <c r="BW30" s="3" t="s">
        <v>53</v>
      </c>
      <c r="BX30" s="3" t="s">
        <v>1017</v>
      </c>
      <c r="BY30" s="3" t="s">
        <v>53</v>
      </c>
      <c r="BZ30" s="3" t="s">
        <v>644</v>
      </c>
      <c r="CA30" s="3" t="s">
        <v>53</v>
      </c>
      <c r="CB30" s="3" t="s">
        <v>1018</v>
      </c>
      <c r="CC30" s="3" t="s">
        <v>53</v>
      </c>
      <c r="CD30" s="3" t="s">
        <v>1019</v>
      </c>
      <c r="CE30" s="3" t="s">
        <v>53</v>
      </c>
      <c r="CF30" s="3" t="s">
        <v>334</v>
      </c>
      <c r="CG30" s="3" t="s">
        <v>53</v>
      </c>
      <c r="CH30" s="3" t="s">
        <v>321</v>
      </c>
    </row>
    <row r="31" spans="1:86" x14ac:dyDescent="0.55000000000000004">
      <c r="A31" s="3" t="s">
        <v>664</v>
      </c>
      <c r="B31" s="3" t="s">
        <v>665</v>
      </c>
      <c r="C31" s="3" t="s">
        <v>379</v>
      </c>
      <c r="D31" s="3" t="s">
        <v>65</v>
      </c>
      <c r="E31" s="3" t="s">
        <v>62</v>
      </c>
      <c r="F31" s="3" t="s">
        <v>710</v>
      </c>
      <c r="G31" s="3" t="s">
        <v>50</v>
      </c>
      <c r="H31" s="3" t="s">
        <v>55</v>
      </c>
      <c r="I31" s="3" t="s">
        <v>56</v>
      </c>
      <c r="J31" s="3" t="s">
        <v>60</v>
      </c>
      <c r="K31" s="3" t="s">
        <v>58</v>
      </c>
      <c r="L31" s="3" t="s">
        <v>65</v>
      </c>
      <c r="M31" s="3" t="s">
        <v>379</v>
      </c>
      <c r="N31" s="3" t="s">
        <v>67</v>
      </c>
      <c r="O31" s="3" t="s">
        <v>53</v>
      </c>
      <c r="P31" s="3" t="s">
        <v>237</v>
      </c>
      <c r="Q31" s="3" t="s">
        <v>53</v>
      </c>
      <c r="R31" s="3" t="s">
        <v>238</v>
      </c>
      <c r="S31" s="3" t="s">
        <v>53</v>
      </c>
      <c r="T31" s="3" t="s">
        <v>214</v>
      </c>
      <c r="U31" s="3" t="s">
        <v>53</v>
      </c>
      <c r="V31" s="3" t="s">
        <v>200</v>
      </c>
      <c r="W31" s="3" t="s">
        <v>53</v>
      </c>
      <c r="X31" s="3" t="s">
        <v>251</v>
      </c>
      <c r="Y31" s="3" t="s">
        <v>53</v>
      </c>
      <c r="Z31" s="3" t="s">
        <v>231</v>
      </c>
      <c r="AA31" s="3" t="s">
        <v>53</v>
      </c>
      <c r="AB31" s="3" t="s">
        <v>213</v>
      </c>
      <c r="AC31" s="3" t="s">
        <v>53</v>
      </c>
      <c r="AD31" s="3" t="s">
        <v>347</v>
      </c>
      <c r="AE31" s="3" t="s">
        <v>53</v>
      </c>
      <c r="AF31" s="3" t="s">
        <v>1020</v>
      </c>
      <c r="AG31" s="3" t="s">
        <v>53</v>
      </c>
      <c r="AH31" s="3" t="s">
        <v>1021</v>
      </c>
      <c r="AI31" s="3" t="s">
        <v>53</v>
      </c>
      <c r="AJ31" s="3" t="s">
        <v>1022</v>
      </c>
      <c r="AK31" s="3" t="s">
        <v>53</v>
      </c>
      <c r="AL31" s="3" t="s">
        <v>1023</v>
      </c>
      <c r="AM31" s="3" t="s">
        <v>53</v>
      </c>
      <c r="AN31" s="3" t="s">
        <v>625</v>
      </c>
      <c r="AO31" s="3" t="s">
        <v>53</v>
      </c>
      <c r="AP31" s="3" t="s">
        <v>902</v>
      </c>
      <c r="AQ31" s="3" t="s">
        <v>53</v>
      </c>
      <c r="AR31" s="3" t="s">
        <v>1016</v>
      </c>
      <c r="AS31" s="3" t="s">
        <v>53</v>
      </c>
      <c r="AT31" s="3" t="s">
        <v>383</v>
      </c>
      <c r="AU31" s="3" t="s">
        <v>53</v>
      </c>
      <c r="AV31" s="3" t="s">
        <v>1024</v>
      </c>
      <c r="AW31" s="3" t="s">
        <v>53</v>
      </c>
      <c r="AX31" s="3" t="s">
        <v>711</v>
      </c>
      <c r="AY31" s="3" t="s">
        <v>53</v>
      </c>
      <c r="AZ31" s="3" t="s">
        <v>620</v>
      </c>
      <c r="BA31" s="3" t="s">
        <v>53</v>
      </c>
      <c r="BB31" s="3" t="s">
        <v>216</v>
      </c>
      <c r="BC31" s="3" t="s">
        <v>53</v>
      </c>
      <c r="BD31" s="3" t="s">
        <v>242</v>
      </c>
      <c r="BE31" s="3" t="s">
        <v>53</v>
      </c>
      <c r="BF31" s="3" t="s">
        <v>208</v>
      </c>
      <c r="BG31" s="3" t="s">
        <v>53</v>
      </c>
      <c r="BH31" s="3" t="s">
        <v>208</v>
      </c>
      <c r="BI31" s="3" t="s">
        <v>53</v>
      </c>
      <c r="BJ31" s="3" t="s">
        <v>373</v>
      </c>
      <c r="BK31" s="3" t="s">
        <v>53</v>
      </c>
      <c r="BL31" s="3" t="s">
        <v>375</v>
      </c>
      <c r="BM31" s="3" t="s">
        <v>53</v>
      </c>
      <c r="BN31" s="3" t="s">
        <v>249</v>
      </c>
      <c r="BO31" s="3" t="s">
        <v>53</v>
      </c>
      <c r="BP31" s="3" t="s">
        <v>1025</v>
      </c>
      <c r="BQ31" s="3" t="s">
        <v>53</v>
      </c>
      <c r="BR31" s="3" t="s">
        <v>420</v>
      </c>
      <c r="BS31" s="3" t="s">
        <v>53</v>
      </c>
      <c r="BT31" s="3" t="s">
        <v>229</v>
      </c>
      <c r="BU31" s="3" t="s">
        <v>53</v>
      </c>
      <c r="BV31" s="3" t="s">
        <v>995</v>
      </c>
      <c r="BW31" s="3" t="s">
        <v>53</v>
      </c>
      <c r="BX31" s="3" t="s">
        <v>666</v>
      </c>
      <c r="BY31" s="3" t="s">
        <v>53</v>
      </c>
      <c r="BZ31" s="3" t="s">
        <v>630</v>
      </c>
      <c r="CA31" s="3" t="s">
        <v>53</v>
      </c>
      <c r="CB31" s="3" t="s">
        <v>541</v>
      </c>
      <c r="CC31" s="3" t="s">
        <v>53</v>
      </c>
      <c r="CD31" s="3" t="s">
        <v>791</v>
      </c>
      <c r="CE31" s="3" t="s">
        <v>53</v>
      </c>
      <c r="CF31" s="3" t="s">
        <v>1026</v>
      </c>
      <c r="CG31" s="3" t="s">
        <v>53</v>
      </c>
      <c r="CH31" s="3" t="s">
        <v>230</v>
      </c>
    </row>
    <row r="32" spans="1:86" x14ac:dyDescent="0.55000000000000004">
      <c r="A32" s="3" t="s">
        <v>413</v>
      </c>
      <c r="B32" s="3" t="s">
        <v>414</v>
      </c>
      <c r="C32" s="3" t="s">
        <v>76</v>
      </c>
      <c r="D32" s="3" t="s">
        <v>52</v>
      </c>
      <c r="E32" s="3" t="s">
        <v>73</v>
      </c>
      <c r="F32" s="3" t="s">
        <v>839</v>
      </c>
      <c r="G32" s="3" t="s">
        <v>50</v>
      </c>
      <c r="H32" s="3" t="s">
        <v>77</v>
      </c>
      <c r="I32" s="3" t="s">
        <v>56</v>
      </c>
      <c r="J32" s="3" t="s">
        <v>78</v>
      </c>
      <c r="K32" s="3" t="s">
        <v>79</v>
      </c>
      <c r="L32" s="3" t="s">
        <v>52</v>
      </c>
      <c r="M32" s="3" t="s">
        <v>76</v>
      </c>
      <c r="N32" s="3" t="s">
        <v>63</v>
      </c>
      <c r="O32" s="3" t="s">
        <v>53</v>
      </c>
      <c r="P32" s="3" t="s">
        <v>214</v>
      </c>
      <c r="Q32" s="3" t="s">
        <v>53</v>
      </c>
      <c r="R32" s="3" t="s">
        <v>200</v>
      </c>
      <c r="S32" s="3" t="s">
        <v>53</v>
      </c>
      <c r="T32" s="3" t="s">
        <v>201</v>
      </c>
      <c r="U32" s="3" t="s">
        <v>53</v>
      </c>
      <c r="V32" s="3" t="s">
        <v>202</v>
      </c>
      <c r="W32" s="3" t="s">
        <v>53</v>
      </c>
      <c r="X32" s="3" t="s">
        <v>356</v>
      </c>
      <c r="Y32" s="3" t="s">
        <v>53</v>
      </c>
      <c r="Z32" s="3" t="s">
        <v>423</v>
      </c>
      <c r="AA32" s="3" t="s">
        <v>53</v>
      </c>
      <c r="AB32" s="3" t="s">
        <v>213</v>
      </c>
      <c r="AC32" s="3" t="s">
        <v>53</v>
      </c>
      <c r="AD32" s="3" t="s">
        <v>205</v>
      </c>
      <c r="AE32" s="3" t="s">
        <v>53</v>
      </c>
      <c r="AF32" s="3" t="s">
        <v>1027</v>
      </c>
      <c r="AG32" s="3" t="s">
        <v>53</v>
      </c>
      <c r="AH32" s="3" t="s">
        <v>1028</v>
      </c>
      <c r="AI32" s="3" t="s">
        <v>53</v>
      </c>
      <c r="AJ32" s="3" t="s">
        <v>1029</v>
      </c>
      <c r="AK32" s="3" t="s">
        <v>53</v>
      </c>
      <c r="AL32" s="3" t="s">
        <v>1030</v>
      </c>
      <c r="AM32" s="3" t="s">
        <v>53</v>
      </c>
      <c r="AN32" s="3" t="s">
        <v>674</v>
      </c>
      <c r="AO32" s="3" t="s">
        <v>53</v>
      </c>
      <c r="AP32" s="3" t="s">
        <v>757</v>
      </c>
      <c r="AQ32" s="3" t="s">
        <v>53</v>
      </c>
      <c r="AR32" s="3" t="s">
        <v>670</v>
      </c>
      <c r="AS32" s="3" t="s">
        <v>53</v>
      </c>
      <c r="AT32" s="3" t="s">
        <v>317</v>
      </c>
      <c r="AU32" s="3" t="s">
        <v>53</v>
      </c>
      <c r="AV32" s="3" t="s">
        <v>1031</v>
      </c>
      <c r="AW32" s="3" t="s">
        <v>53</v>
      </c>
      <c r="AX32" s="3" t="s">
        <v>1032</v>
      </c>
      <c r="AY32" s="3" t="s">
        <v>53</v>
      </c>
      <c r="AZ32" s="3" t="s">
        <v>636</v>
      </c>
      <c r="BA32" s="3" t="s">
        <v>53</v>
      </c>
      <c r="BB32" s="3" t="s">
        <v>208</v>
      </c>
      <c r="BC32" s="3" t="s">
        <v>53</v>
      </c>
      <c r="BD32" s="3" t="s">
        <v>227</v>
      </c>
      <c r="BE32" s="3" t="s">
        <v>53</v>
      </c>
      <c r="BF32" s="3" t="s">
        <v>234</v>
      </c>
      <c r="BG32" s="3" t="s">
        <v>53</v>
      </c>
      <c r="BH32" s="3" t="s">
        <v>227</v>
      </c>
      <c r="BI32" s="3" t="s">
        <v>53</v>
      </c>
      <c r="BJ32" s="3" t="s">
        <v>284</v>
      </c>
      <c r="BK32" s="3" t="s">
        <v>53</v>
      </c>
      <c r="BL32" s="3" t="s">
        <v>416</v>
      </c>
      <c r="BM32" s="3" t="s">
        <v>53</v>
      </c>
      <c r="BN32" s="3" t="s">
        <v>235</v>
      </c>
      <c r="BO32" s="3" t="s">
        <v>53</v>
      </c>
      <c r="BP32" s="3" t="s">
        <v>1033</v>
      </c>
      <c r="BQ32" s="3" t="s">
        <v>53</v>
      </c>
      <c r="BR32" s="3" t="s">
        <v>1034</v>
      </c>
      <c r="BS32" s="3" t="s">
        <v>53</v>
      </c>
      <c r="BT32" s="3" t="s">
        <v>236</v>
      </c>
      <c r="BU32" s="3" t="s">
        <v>53</v>
      </c>
      <c r="BV32" s="3" t="s">
        <v>311</v>
      </c>
      <c r="BW32" s="3" t="s">
        <v>53</v>
      </c>
      <c r="BX32" s="3" t="s">
        <v>805</v>
      </c>
      <c r="BY32" s="3" t="s">
        <v>53</v>
      </c>
      <c r="BZ32" s="3" t="s">
        <v>1035</v>
      </c>
      <c r="CA32" s="3" t="s">
        <v>53</v>
      </c>
      <c r="CB32" s="3" t="s">
        <v>276</v>
      </c>
      <c r="CC32" s="3" t="s">
        <v>53</v>
      </c>
      <c r="CD32" s="3" t="s">
        <v>697</v>
      </c>
      <c r="CE32" s="3" t="s">
        <v>53</v>
      </c>
      <c r="CF32" s="3" t="s">
        <v>286</v>
      </c>
      <c r="CG32" s="3" t="s">
        <v>53</v>
      </c>
      <c r="CH32" s="3" t="s">
        <v>321</v>
      </c>
    </row>
    <row r="33" spans="1:86" x14ac:dyDescent="0.55000000000000004">
      <c r="A33" s="3" t="s">
        <v>565</v>
      </c>
      <c r="B33" s="3" t="s">
        <v>566</v>
      </c>
      <c r="C33" s="3" t="s">
        <v>76</v>
      </c>
      <c r="D33" s="3" t="s">
        <v>65</v>
      </c>
      <c r="E33" s="3" t="s">
        <v>85</v>
      </c>
      <c r="F33" s="3" t="s">
        <v>771</v>
      </c>
      <c r="G33" s="3" t="s">
        <v>50</v>
      </c>
      <c r="H33" s="3" t="s">
        <v>77</v>
      </c>
      <c r="I33" s="3" t="s">
        <v>56</v>
      </c>
      <c r="J33" s="3" t="s">
        <v>78</v>
      </c>
      <c r="K33" s="3" t="s">
        <v>79</v>
      </c>
      <c r="L33" s="3" t="s">
        <v>65</v>
      </c>
      <c r="M33" s="3" t="s">
        <v>76</v>
      </c>
      <c r="N33" s="3" t="s">
        <v>63</v>
      </c>
      <c r="O33" s="3" t="s">
        <v>53</v>
      </c>
      <c r="P33" s="3" t="s">
        <v>200</v>
      </c>
      <c r="Q33" s="3" t="s">
        <v>53</v>
      </c>
      <c r="R33" s="3" t="s">
        <v>201</v>
      </c>
      <c r="S33" s="3" t="s">
        <v>53</v>
      </c>
      <c r="T33" s="3" t="s">
        <v>202</v>
      </c>
      <c r="U33" s="3" t="s">
        <v>53</v>
      </c>
      <c r="V33" s="3" t="s">
        <v>203</v>
      </c>
      <c r="W33" s="3" t="s">
        <v>53</v>
      </c>
      <c r="X33" s="3" t="s">
        <v>252</v>
      </c>
      <c r="Y33" s="3" t="s">
        <v>53</v>
      </c>
      <c r="Z33" s="3" t="s">
        <v>348</v>
      </c>
      <c r="AA33" s="3" t="s">
        <v>53</v>
      </c>
      <c r="AB33" s="3" t="s">
        <v>353</v>
      </c>
      <c r="AC33" s="3" t="s">
        <v>53</v>
      </c>
      <c r="AD33" s="3" t="s">
        <v>273</v>
      </c>
      <c r="AE33" s="3" t="s">
        <v>53</v>
      </c>
      <c r="AF33" s="3" t="s">
        <v>1036</v>
      </c>
      <c r="AG33" s="3" t="s">
        <v>53</v>
      </c>
      <c r="AH33" s="3" t="s">
        <v>1037</v>
      </c>
      <c r="AI33" s="3" t="s">
        <v>53</v>
      </c>
      <c r="AJ33" s="3" t="s">
        <v>1038</v>
      </c>
      <c r="AK33" s="3" t="s">
        <v>53</v>
      </c>
      <c r="AL33" s="3" t="s">
        <v>1039</v>
      </c>
      <c r="AM33" s="3" t="s">
        <v>53</v>
      </c>
      <c r="AN33" s="3" t="s">
        <v>680</v>
      </c>
      <c r="AO33" s="3" t="s">
        <v>53</v>
      </c>
      <c r="AP33" s="3" t="s">
        <v>287</v>
      </c>
      <c r="AQ33" s="3" t="s">
        <v>53</v>
      </c>
      <c r="AR33" s="3" t="s">
        <v>522</v>
      </c>
      <c r="AS33" s="3" t="s">
        <v>53</v>
      </c>
      <c r="AT33" s="3" t="s">
        <v>383</v>
      </c>
      <c r="AU33" s="3" t="s">
        <v>53</v>
      </c>
      <c r="AV33" s="3" t="s">
        <v>1040</v>
      </c>
      <c r="AW33" s="3" t="s">
        <v>53</v>
      </c>
      <c r="AX33" s="3" t="s">
        <v>559</v>
      </c>
      <c r="AY33" s="3" t="s">
        <v>53</v>
      </c>
      <c r="AZ33" s="3" t="s">
        <v>1041</v>
      </c>
      <c r="BA33" s="3" t="s">
        <v>53</v>
      </c>
      <c r="BB33" s="3" t="s">
        <v>234</v>
      </c>
      <c r="BC33" s="3" t="s">
        <v>53</v>
      </c>
      <c r="BD33" s="3" t="s">
        <v>227</v>
      </c>
      <c r="BE33" s="3" t="s">
        <v>53</v>
      </c>
      <c r="BF33" s="3" t="s">
        <v>227</v>
      </c>
      <c r="BG33" s="3" t="s">
        <v>53</v>
      </c>
      <c r="BH33" s="3" t="s">
        <v>234</v>
      </c>
      <c r="BI33" s="3" t="s">
        <v>53</v>
      </c>
      <c r="BJ33" s="3" t="s">
        <v>403</v>
      </c>
      <c r="BK33" s="3" t="s">
        <v>53</v>
      </c>
      <c r="BL33" s="3" t="s">
        <v>404</v>
      </c>
      <c r="BM33" s="3" t="s">
        <v>53</v>
      </c>
      <c r="BN33" s="3" t="s">
        <v>228</v>
      </c>
      <c r="BO33" s="3" t="s">
        <v>53</v>
      </c>
      <c r="BP33" s="3" t="s">
        <v>1042</v>
      </c>
      <c r="BQ33" s="3" t="s">
        <v>53</v>
      </c>
      <c r="BR33" s="3" t="s">
        <v>1043</v>
      </c>
      <c r="BS33" s="3" t="s">
        <v>53</v>
      </c>
      <c r="BT33" s="3" t="s">
        <v>236</v>
      </c>
      <c r="BU33" s="3" t="s">
        <v>53</v>
      </c>
      <c r="BV33" s="3" t="s">
        <v>246</v>
      </c>
      <c r="BW33" s="3" t="s">
        <v>53</v>
      </c>
      <c r="BX33" s="3" t="s">
        <v>569</v>
      </c>
      <c r="BY33" s="3" t="s">
        <v>53</v>
      </c>
      <c r="BZ33" s="3" t="s">
        <v>529</v>
      </c>
      <c r="CA33" s="3" t="s">
        <v>53</v>
      </c>
      <c r="CB33" s="3" t="s">
        <v>349</v>
      </c>
      <c r="CC33" s="3" t="s">
        <v>53</v>
      </c>
      <c r="CD33" s="3" t="s">
        <v>554</v>
      </c>
      <c r="CE33" s="3" t="s">
        <v>53</v>
      </c>
      <c r="CF33" s="3" t="s">
        <v>292</v>
      </c>
      <c r="CG33" s="3" t="s">
        <v>53</v>
      </c>
      <c r="CH33" s="3" t="s">
        <v>357</v>
      </c>
    </row>
    <row r="34" spans="1:86" x14ac:dyDescent="0.55000000000000004">
      <c r="A34" s="3" t="s">
        <v>1044</v>
      </c>
      <c r="B34" s="3" t="s">
        <v>1045</v>
      </c>
      <c r="C34" s="3" t="s">
        <v>61</v>
      </c>
      <c r="D34" s="3" t="s">
        <v>52</v>
      </c>
      <c r="E34" s="3" t="s">
        <v>75</v>
      </c>
      <c r="F34" s="3" t="s">
        <v>726</v>
      </c>
      <c r="G34" s="3" t="s">
        <v>50</v>
      </c>
      <c r="H34" s="3" t="s">
        <v>55</v>
      </c>
      <c r="I34" s="3" t="s">
        <v>56</v>
      </c>
      <c r="J34" s="3" t="s">
        <v>57</v>
      </c>
      <c r="K34" s="3" t="s">
        <v>74</v>
      </c>
      <c r="L34" s="3" t="s">
        <v>52</v>
      </c>
      <c r="M34" s="3" t="s">
        <v>61</v>
      </c>
      <c r="N34" s="3" t="s">
        <v>59</v>
      </c>
      <c r="O34" s="3" t="s">
        <v>53</v>
      </c>
      <c r="P34" s="3" t="s">
        <v>238</v>
      </c>
      <c r="Q34" s="3" t="s">
        <v>53</v>
      </c>
      <c r="R34" s="3" t="s">
        <v>214</v>
      </c>
      <c r="S34" s="3" t="s">
        <v>53</v>
      </c>
      <c r="T34" s="3" t="s">
        <v>200</v>
      </c>
      <c r="U34" s="3"/>
      <c r="V34" s="3"/>
      <c r="W34" s="3" t="s">
        <v>53</v>
      </c>
      <c r="X34" s="3" t="s">
        <v>597</v>
      </c>
      <c r="Y34" s="3" t="s">
        <v>53</v>
      </c>
      <c r="Z34" s="3" t="s">
        <v>248</v>
      </c>
      <c r="AA34" s="3" t="s">
        <v>53</v>
      </c>
      <c r="AB34" s="3" t="s">
        <v>248</v>
      </c>
      <c r="AC34" s="3"/>
      <c r="AD34" s="3"/>
      <c r="AE34" s="3" t="s">
        <v>53</v>
      </c>
      <c r="AF34" s="3" t="s">
        <v>1046</v>
      </c>
      <c r="AG34" s="3" t="s">
        <v>53</v>
      </c>
      <c r="AH34" s="3" t="s">
        <v>1047</v>
      </c>
      <c r="AI34" s="3" t="s">
        <v>53</v>
      </c>
      <c r="AJ34" s="3" t="s">
        <v>1048</v>
      </c>
      <c r="AK34" s="3" t="s">
        <v>53</v>
      </c>
      <c r="AL34" s="3" t="s">
        <v>1049</v>
      </c>
      <c r="AM34" s="3" t="s">
        <v>53</v>
      </c>
      <c r="AN34" s="3" t="s">
        <v>1050</v>
      </c>
      <c r="AO34" s="3" t="s">
        <v>53</v>
      </c>
      <c r="AP34" s="3" t="s">
        <v>395</v>
      </c>
      <c r="AQ34" s="3" t="s">
        <v>53</v>
      </c>
      <c r="AR34" s="3" t="s">
        <v>1051</v>
      </c>
      <c r="AS34" s="3" t="s">
        <v>53</v>
      </c>
      <c r="AT34" s="3" t="s">
        <v>206</v>
      </c>
      <c r="AU34" s="3" t="s">
        <v>53</v>
      </c>
      <c r="AV34" s="3" t="s">
        <v>1052</v>
      </c>
      <c r="AW34" s="3" t="s">
        <v>53</v>
      </c>
      <c r="AX34" s="3" t="s">
        <v>338</v>
      </c>
      <c r="AY34" s="3" t="s">
        <v>53</v>
      </c>
      <c r="AZ34" s="3" t="s">
        <v>1053</v>
      </c>
      <c r="BA34" s="3" t="s">
        <v>53</v>
      </c>
      <c r="BB34" s="3" t="s">
        <v>234</v>
      </c>
      <c r="BC34" s="3" t="s">
        <v>53</v>
      </c>
      <c r="BD34" s="3" t="s">
        <v>208</v>
      </c>
      <c r="BE34" s="3" t="s">
        <v>53</v>
      </c>
      <c r="BF34" s="3" t="s">
        <v>216</v>
      </c>
      <c r="BG34" s="3" t="s">
        <v>53</v>
      </c>
      <c r="BH34" s="3" t="s">
        <v>241</v>
      </c>
      <c r="BI34" s="3" t="s">
        <v>53</v>
      </c>
      <c r="BJ34" s="3" t="s">
        <v>210</v>
      </c>
      <c r="BK34" s="3" t="s">
        <v>53</v>
      </c>
      <c r="BL34" s="3" t="s">
        <v>211</v>
      </c>
      <c r="BM34" s="3" t="s">
        <v>53</v>
      </c>
      <c r="BN34" s="3" t="s">
        <v>228</v>
      </c>
      <c r="BO34" s="3" t="s">
        <v>53</v>
      </c>
      <c r="BP34" s="3" t="s">
        <v>1054</v>
      </c>
      <c r="BQ34" s="3" t="s">
        <v>53</v>
      </c>
      <c r="BR34" s="3" t="s">
        <v>1055</v>
      </c>
      <c r="BS34" s="3" t="s">
        <v>53</v>
      </c>
      <c r="BT34" s="3" t="s">
        <v>331</v>
      </c>
      <c r="BU34" s="3" t="s">
        <v>53</v>
      </c>
      <c r="BV34" s="3" t="s">
        <v>654</v>
      </c>
      <c r="BW34" s="3" t="s">
        <v>53</v>
      </c>
      <c r="BX34" s="3" t="s">
        <v>543</v>
      </c>
      <c r="BY34" s="3" t="s">
        <v>53</v>
      </c>
      <c r="BZ34" s="3" t="s">
        <v>528</v>
      </c>
      <c r="CA34" s="3" t="s">
        <v>53</v>
      </c>
      <c r="CB34" s="3" t="s">
        <v>517</v>
      </c>
      <c r="CC34" s="3" t="s">
        <v>53</v>
      </c>
      <c r="CD34" s="3" t="s">
        <v>328</v>
      </c>
      <c r="CE34" s="3" t="s">
        <v>53</v>
      </c>
      <c r="CF34" s="3" t="s">
        <v>415</v>
      </c>
      <c r="CG34" s="3" t="s">
        <v>53</v>
      </c>
      <c r="CH34" s="3" t="s">
        <v>282</v>
      </c>
    </row>
    <row r="35" spans="1:86" x14ac:dyDescent="0.55000000000000004">
      <c r="A35" s="3" t="s">
        <v>1056</v>
      </c>
      <c r="B35" s="3" t="s">
        <v>1057</v>
      </c>
      <c r="C35" s="3" t="s">
        <v>61</v>
      </c>
      <c r="D35" s="3" t="s">
        <v>52</v>
      </c>
      <c r="E35" s="3" t="s">
        <v>75</v>
      </c>
      <c r="F35" s="3" t="s">
        <v>726</v>
      </c>
      <c r="G35" s="3" t="s">
        <v>50</v>
      </c>
      <c r="H35" s="3" t="s">
        <v>55</v>
      </c>
      <c r="I35" s="3" t="s">
        <v>56</v>
      </c>
      <c r="J35" s="3" t="s">
        <v>78</v>
      </c>
      <c r="K35" s="3" t="s">
        <v>79</v>
      </c>
      <c r="L35" s="3" t="s">
        <v>52</v>
      </c>
      <c r="M35" s="3" t="s">
        <v>61</v>
      </c>
      <c r="N35" s="3" t="s">
        <v>59</v>
      </c>
      <c r="O35" s="3" t="s">
        <v>53</v>
      </c>
      <c r="P35" s="3" t="s">
        <v>214</v>
      </c>
      <c r="Q35" s="3" t="s">
        <v>53</v>
      </c>
      <c r="R35" s="3" t="s">
        <v>201</v>
      </c>
      <c r="S35" s="3" t="s">
        <v>53</v>
      </c>
      <c r="T35" s="3" t="s">
        <v>203</v>
      </c>
      <c r="U35" s="3" t="s">
        <v>53</v>
      </c>
      <c r="V35" s="3" t="s">
        <v>337</v>
      </c>
      <c r="W35" s="3" t="s">
        <v>53</v>
      </c>
      <c r="X35" s="3" t="s">
        <v>204</v>
      </c>
      <c r="Y35" s="3" t="s">
        <v>53</v>
      </c>
      <c r="Z35" s="3" t="s">
        <v>266</v>
      </c>
      <c r="AA35" s="3" t="s">
        <v>53</v>
      </c>
      <c r="AB35" s="3" t="s">
        <v>359</v>
      </c>
      <c r="AC35" s="3" t="s">
        <v>53</v>
      </c>
      <c r="AD35" s="3" t="s">
        <v>1058</v>
      </c>
      <c r="AE35" s="3" t="s">
        <v>53</v>
      </c>
      <c r="AF35" s="3" t="s">
        <v>1059</v>
      </c>
      <c r="AG35" s="3" t="s">
        <v>53</v>
      </c>
      <c r="AH35" s="3" t="s">
        <v>1060</v>
      </c>
      <c r="AI35" s="3" t="s">
        <v>53</v>
      </c>
      <c r="AJ35" s="3" t="s">
        <v>1061</v>
      </c>
      <c r="AK35" s="3" t="s">
        <v>53</v>
      </c>
      <c r="AL35" s="3" t="s">
        <v>1062</v>
      </c>
      <c r="AM35" s="3" t="s">
        <v>53</v>
      </c>
      <c r="AN35" s="3" t="s">
        <v>1063</v>
      </c>
      <c r="AO35" s="3" t="s">
        <v>53</v>
      </c>
      <c r="AP35" s="3" t="s">
        <v>328</v>
      </c>
      <c r="AQ35" s="3" t="s">
        <v>53</v>
      </c>
      <c r="AR35" s="3" t="s">
        <v>316</v>
      </c>
      <c r="AS35" s="3" t="s">
        <v>53</v>
      </c>
      <c r="AT35" s="3" t="s">
        <v>317</v>
      </c>
      <c r="AU35" s="3" t="s">
        <v>53</v>
      </c>
      <c r="AV35" s="3" t="s">
        <v>1064</v>
      </c>
      <c r="AW35" s="3" t="s">
        <v>53</v>
      </c>
      <c r="AX35" s="3" t="s">
        <v>226</v>
      </c>
      <c r="AY35" s="3" t="s">
        <v>53</v>
      </c>
      <c r="AZ35" s="3" t="s">
        <v>671</v>
      </c>
      <c r="BA35" s="3" t="s">
        <v>53</v>
      </c>
      <c r="BB35" s="3" t="s">
        <v>216</v>
      </c>
      <c r="BC35" s="3" t="s">
        <v>53</v>
      </c>
      <c r="BD35" s="3" t="s">
        <v>234</v>
      </c>
      <c r="BE35" s="3" t="s">
        <v>53</v>
      </c>
      <c r="BF35" s="3" t="s">
        <v>216</v>
      </c>
      <c r="BG35" s="3" t="s">
        <v>53</v>
      </c>
      <c r="BH35" s="3" t="s">
        <v>208</v>
      </c>
      <c r="BI35" s="3" t="s">
        <v>53</v>
      </c>
      <c r="BJ35" s="3" t="s">
        <v>376</v>
      </c>
      <c r="BK35" s="3" t="s">
        <v>53</v>
      </c>
      <c r="BL35" s="3" t="s">
        <v>343</v>
      </c>
      <c r="BM35" s="3" t="s">
        <v>53</v>
      </c>
      <c r="BN35" s="3" t="s">
        <v>235</v>
      </c>
      <c r="BO35" s="3" t="s">
        <v>53</v>
      </c>
      <c r="BP35" s="3" t="s">
        <v>1065</v>
      </c>
      <c r="BQ35" s="3" t="s">
        <v>53</v>
      </c>
      <c r="BR35" s="3" t="s">
        <v>1066</v>
      </c>
      <c r="BS35" s="3" t="s">
        <v>53</v>
      </c>
      <c r="BT35" s="3" t="s">
        <v>374</v>
      </c>
      <c r="BU35" s="3" t="s">
        <v>53</v>
      </c>
      <c r="BV35" s="3" t="s">
        <v>880</v>
      </c>
      <c r="BW35" s="3" t="s">
        <v>53</v>
      </c>
      <c r="BX35" s="3" t="s">
        <v>406</v>
      </c>
      <c r="BY35" s="3" t="s">
        <v>53</v>
      </c>
      <c r="BZ35" s="3" t="s">
        <v>302</v>
      </c>
      <c r="CA35" s="3" t="s">
        <v>53</v>
      </c>
      <c r="CB35" s="3" t="s">
        <v>298</v>
      </c>
      <c r="CC35" s="3" t="s">
        <v>53</v>
      </c>
      <c r="CD35" s="3" t="s">
        <v>657</v>
      </c>
      <c r="CE35" s="3" t="s">
        <v>53</v>
      </c>
      <c r="CF35" s="3" t="s">
        <v>325</v>
      </c>
      <c r="CG35" s="3" t="s">
        <v>53</v>
      </c>
      <c r="CH35" s="3" t="s">
        <v>375</v>
      </c>
    </row>
    <row r="36" spans="1:86" x14ac:dyDescent="0.55000000000000004">
      <c r="A36" s="3" t="s">
        <v>675</v>
      </c>
      <c r="B36" s="3" t="s">
        <v>676</v>
      </c>
      <c r="C36" s="3" t="s">
        <v>51</v>
      </c>
      <c r="D36" s="3" t="s">
        <v>52</v>
      </c>
      <c r="E36" s="3" t="s">
        <v>73</v>
      </c>
      <c r="F36" s="3" t="s">
        <v>741</v>
      </c>
      <c r="G36" s="3" t="s">
        <v>50</v>
      </c>
      <c r="H36" s="3" t="s">
        <v>55</v>
      </c>
      <c r="I36" s="3" t="s">
        <v>56</v>
      </c>
      <c r="J36" s="3" t="s">
        <v>60</v>
      </c>
      <c r="K36" s="3" t="s">
        <v>58</v>
      </c>
      <c r="L36" s="3" t="s">
        <v>52</v>
      </c>
      <c r="M36" s="3" t="s">
        <v>51</v>
      </c>
      <c r="N36" s="3" t="s">
        <v>72</v>
      </c>
      <c r="O36" s="3" t="s">
        <v>53</v>
      </c>
      <c r="P36" s="3" t="s">
        <v>238</v>
      </c>
      <c r="Q36" s="3" t="s">
        <v>53</v>
      </c>
      <c r="R36" s="3" t="s">
        <v>214</v>
      </c>
      <c r="S36" s="3" t="s">
        <v>53</v>
      </c>
      <c r="T36" s="3" t="s">
        <v>200</v>
      </c>
      <c r="U36" s="3" t="s">
        <v>53</v>
      </c>
      <c r="V36" s="3" t="s">
        <v>201</v>
      </c>
      <c r="W36" s="3" t="s">
        <v>53</v>
      </c>
      <c r="X36" s="3" t="s">
        <v>251</v>
      </c>
      <c r="Y36" s="3" t="s">
        <v>53</v>
      </c>
      <c r="Z36" s="3" t="s">
        <v>1067</v>
      </c>
      <c r="AA36" s="3" t="s">
        <v>53</v>
      </c>
      <c r="AB36" s="3" t="s">
        <v>371</v>
      </c>
      <c r="AC36" s="3" t="s">
        <v>53</v>
      </c>
      <c r="AD36" s="3" t="s">
        <v>248</v>
      </c>
      <c r="AE36" s="3" t="s">
        <v>53</v>
      </c>
      <c r="AF36" s="3" t="s">
        <v>643</v>
      </c>
      <c r="AG36" s="3" t="s">
        <v>53</v>
      </c>
      <c r="AH36" s="3" t="s">
        <v>1068</v>
      </c>
      <c r="AI36" s="3" t="s">
        <v>53</v>
      </c>
      <c r="AJ36" s="3" t="s">
        <v>1069</v>
      </c>
      <c r="AK36" s="3" t="s">
        <v>53</v>
      </c>
      <c r="AL36" s="3" t="s">
        <v>1070</v>
      </c>
      <c r="AM36" s="3" t="s">
        <v>53</v>
      </c>
      <c r="AN36" s="3" t="s">
        <v>1071</v>
      </c>
      <c r="AO36" s="3" t="s">
        <v>53</v>
      </c>
      <c r="AP36" s="3" t="s">
        <v>323</v>
      </c>
      <c r="AQ36" s="3" t="s">
        <v>53</v>
      </c>
      <c r="AR36" s="3" t="s">
        <v>917</v>
      </c>
      <c r="AS36" s="3" t="s">
        <v>53</v>
      </c>
      <c r="AT36" s="3" t="s">
        <v>206</v>
      </c>
      <c r="AU36" s="3" t="s">
        <v>53</v>
      </c>
      <c r="AV36" s="3" t="s">
        <v>1040</v>
      </c>
      <c r="AW36" s="3" t="s">
        <v>53</v>
      </c>
      <c r="AX36" s="3" t="s">
        <v>559</v>
      </c>
      <c r="AY36" s="3" t="s">
        <v>53</v>
      </c>
      <c r="AZ36" s="3" t="s">
        <v>1072</v>
      </c>
      <c r="BA36" s="3" t="s">
        <v>53</v>
      </c>
      <c r="BB36" s="3" t="s">
        <v>234</v>
      </c>
      <c r="BC36" s="3" t="s">
        <v>53</v>
      </c>
      <c r="BD36" s="3" t="s">
        <v>227</v>
      </c>
      <c r="BE36" s="3" t="s">
        <v>53</v>
      </c>
      <c r="BF36" s="3" t="s">
        <v>208</v>
      </c>
      <c r="BG36" s="3" t="s">
        <v>53</v>
      </c>
      <c r="BH36" s="3" t="s">
        <v>253</v>
      </c>
      <c r="BI36" s="3" t="s">
        <v>53</v>
      </c>
      <c r="BJ36" s="3" t="s">
        <v>263</v>
      </c>
      <c r="BK36" s="3" t="s">
        <v>53</v>
      </c>
      <c r="BL36" s="3" t="s">
        <v>274</v>
      </c>
      <c r="BM36" s="3" t="s">
        <v>53</v>
      </c>
      <c r="BN36" s="3" t="s">
        <v>245</v>
      </c>
      <c r="BO36" s="3" t="s">
        <v>53</v>
      </c>
      <c r="BP36" s="3" t="s">
        <v>703</v>
      </c>
      <c r="BQ36" s="3" t="s">
        <v>53</v>
      </c>
      <c r="BR36" s="3" t="s">
        <v>888</v>
      </c>
      <c r="BS36" s="3" t="s">
        <v>53</v>
      </c>
      <c r="BT36" s="3" t="s">
        <v>236</v>
      </c>
      <c r="BU36" s="3" t="s">
        <v>53</v>
      </c>
      <c r="BV36" s="3" t="s">
        <v>285</v>
      </c>
      <c r="BW36" s="3" t="s">
        <v>53</v>
      </c>
      <c r="BX36" s="3" t="s">
        <v>1073</v>
      </c>
      <c r="BY36" s="3" t="s">
        <v>53</v>
      </c>
      <c r="BZ36" s="3" t="s">
        <v>574</v>
      </c>
      <c r="CA36" s="3" t="s">
        <v>53</v>
      </c>
      <c r="CB36" s="3" t="s">
        <v>685</v>
      </c>
      <c r="CC36" s="3" t="s">
        <v>53</v>
      </c>
      <c r="CD36" s="3" t="s">
        <v>523</v>
      </c>
      <c r="CE36" s="3" t="s">
        <v>53</v>
      </c>
      <c r="CF36" s="3" t="s">
        <v>296</v>
      </c>
      <c r="CG36" s="3" t="s">
        <v>53</v>
      </c>
      <c r="CH36" s="3" t="s">
        <v>526</v>
      </c>
    </row>
    <row r="37" spans="1:86" x14ac:dyDescent="0.55000000000000004">
      <c r="A37" s="3" t="s">
        <v>678</v>
      </c>
      <c r="B37" s="3" t="s">
        <v>679</v>
      </c>
      <c r="C37" s="3" t="s">
        <v>68</v>
      </c>
      <c r="D37" s="3" t="s">
        <v>65</v>
      </c>
      <c r="E37" s="3" t="s">
        <v>73</v>
      </c>
      <c r="F37" s="3" t="s">
        <v>741</v>
      </c>
      <c r="G37" s="3" t="s">
        <v>50</v>
      </c>
      <c r="H37" s="3" t="s">
        <v>55</v>
      </c>
      <c r="I37" s="3" t="s">
        <v>56</v>
      </c>
      <c r="J37" s="3" t="s">
        <v>60</v>
      </c>
      <c r="K37" s="3" t="s">
        <v>58</v>
      </c>
      <c r="L37" s="3" t="s">
        <v>65</v>
      </c>
      <c r="M37" s="3" t="s">
        <v>68</v>
      </c>
      <c r="N37" s="3" t="s">
        <v>69</v>
      </c>
      <c r="O37" s="3" t="s">
        <v>53</v>
      </c>
      <c r="P37" s="3" t="s">
        <v>238</v>
      </c>
      <c r="Q37" s="3" t="s">
        <v>53</v>
      </c>
      <c r="R37" s="3" t="s">
        <v>214</v>
      </c>
      <c r="S37" s="3" t="s">
        <v>53</v>
      </c>
      <c r="T37" s="3" t="s">
        <v>200</v>
      </c>
      <c r="U37" s="3" t="s">
        <v>53</v>
      </c>
      <c r="V37" s="3" t="s">
        <v>201</v>
      </c>
      <c r="W37" s="3" t="s">
        <v>53</v>
      </c>
      <c r="X37" s="3" t="s">
        <v>292</v>
      </c>
      <c r="Y37" s="3" t="s">
        <v>53</v>
      </c>
      <c r="Z37" s="3" t="s">
        <v>231</v>
      </c>
      <c r="AA37" s="3" t="s">
        <v>53</v>
      </c>
      <c r="AB37" s="3" t="s">
        <v>265</v>
      </c>
      <c r="AC37" s="3" t="s">
        <v>53</v>
      </c>
      <c r="AD37" s="3" t="s">
        <v>248</v>
      </c>
      <c r="AE37" s="3" t="s">
        <v>53</v>
      </c>
      <c r="AF37" s="3" t="s">
        <v>668</v>
      </c>
      <c r="AG37" s="3" t="s">
        <v>53</v>
      </c>
      <c r="AH37" s="3" t="s">
        <v>1074</v>
      </c>
      <c r="AI37" s="3" t="s">
        <v>53</v>
      </c>
      <c r="AJ37" s="3" t="s">
        <v>1075</v>
      </c>
      <c r="AK37" s="3" t="s">
        <v>53</v>
      </c>
      <c r="AL37" s="3" t="s">
        <v>951</v>
      </c>
      <c r="AM37" s="3" t="s">
        <v>53</v>
      </c>
      <c r="AN37" s="3" t="s">
        <v>264</v>
      </c>
      <c r="AO37" s="3" t="s">
        <v>53</v>
      </c>
      <c r="AP37" s="3" t="s">
        <v>303</v>
      </c>
      <c r="AQ37" s="3" t="s">
        <v>53</v>
      </c>
      <c r="AR37" s="3" t="s">
        <v>513</v>
      </c>
      <c r="AS37" s="3" t="s">
        <v>53</v>
      </c>
      <c r="AT37" s="3" t="s">
        <v>328</v>
      </c>
      <c r="AU37" s="3" t="s">
        <v>53</v>
      </c>
      <c r="AV37" s="3" t="s">
        <v>1076</v>
      </c>
      <c r="AW37" s="3" t="s">
        <v>53</v>
      </c>
      <c r="AX37" s="3" t="s">
        <v>207</v>
      </c>
      <c r="AY37" s="3" t="s">
        <v>53</v>
      </c>
      <c r="AZ37" s="3" t="s">
        <v>567</v>
      </c>
      <c r="BA37" s="3" t="s">
        <v>53</v>
      </c>
      <c r="BB37" s="3" t="s">
        <v>253</v>
      </c>
      <c r="BC37" s="3" t="s">
        <v>53</v>
      </c>
      <c r="BD37" s="3" t="s">
        <v>227</v>
      </c>
      <c r="BE37" s="3" t="s">
        <v>53</v>
      </c>
      <c r="BF37" s="3" t="s">
        <v>216</v>
      </c>
      <c r="BG37" s="3" t="s">
        <v>53</v>
      </c>
      <c r="BH37" s="3" t="s">
        <v>253</v>
      </c>
      <c r="BI37" s="3" t="s">
        <v>53</v>
      </c>
      <c r="BJ37" s="3" t="s">
        <v>318</v>
      </c>
      <c r="BK37" s="3" t="s">
        <v>53</v>
      </c>
      <c r="BL37" s="3" t="s">
        <v>319</v>
      </c>
      <c r="BM37" s="3" t="s">
        <v>53</v>
      </c>
      <c r="BN37" s="3" t="s">
        <v>250</v>
      </c>
      <c r="BO37" s="3" t="s">
        <v>53</v>
      </c>
      <c r="BP37" s="3" t="s">
        <v>749</v>
      </c>
      <c r="BQ37" s="3" t="s">
        <v>53</v>
      </c>
      <c r="BR37" s="3" t="s">
        <v>542</v>
      </c>
      <c r="BS37" s="3" t="s">
        <v>53</v>
      </c>
      <c r="BT37" s="3" t="s">
        <v>374</v>
      </c>
      <c r="BU37" s="3" t="s">
        <v>53</v>
      </c>
      <c r="BV37" s="3" t="s">
        <v>1077</v>
      </c>
      <c r="BW37" s="3" t="s">
        <v>53</v>
      </c>
      <c r="BX37" s="3" t="s">
        <v>1078</v>
      </c>
      <c r="BY37" s="3" t="s">
        <v>53</v>
      </c>
      <c r="BZ37" s="3" t="s">
        <v>994</v>
      </c>
      <c r="CA37" s="3" t="s">
        <v>53</v>
      </c>
      <c r="CB37" s="3" t="s">
        <v>758</v>
      </c>
      <c r="CC37" s="3" t="s">
        <v>53</v>
      </c>
      <c r="CD37" s="3" t="s">
        <v>1079</v>
      </c>
      <c r="CE37" s="3" t="s">
        <v>53</v>
      </c>
      <c r="CF37" s="3" t="s">
        <v>223</v>
      </c>
      <c r="CG37" s="3" t="s">
        <v>53</v>
      </c>
      <c r="CH37" s="3" t="s">
        <v>262</v>
      </c>
    </row>
    <row r="38" spans="1:86" x14ac:dyDescent="0.55000000000000004">
      <c r="A38" s="3" t="s">
        <v>1080</v>
      </c>
      <c r="B38" s="3" t="s">
        <v>1081</v>
      </c>
      <c r="C38" s="3" t="s">
        <v>68</v>
      </c>
      <c r="D38" s="3" t="s">
        <v>52</v>
      </c>
      <c r="E38" s="3" t="s">
        <v>344</v>
      </c>
      <c r="F38" s="3" t="s">
        <v>937</v>
      </c>
      <c r="G38" s="3" t="s">
        <v>50</v>
      </c>
      <c r="H38" s="3" t="s">
        <v>55</v>
      </c>
      <c r="I38" s="3" t="s">
        <v>56</v>
      </c>
      <c r="J38" s="3" t="s">
        <v>60</v>
      </c>
      <c r="K38" s="3" t="s">
        <v>1082</v>
      </c>
      <c r="L38" s="3" t="s">
        <v>52</v>
      </c>
      <c r="M38" s="3" t="s">
        <v>68</v>
      </c>
      <c r="N38" s="3" t="s">
        <v>69</v>
      </c>
      <c r="O38" s="3" t="s">
        <v>53</v>
      </c>
      <c r="P38" s="3" t="s">
        <v>200</v>
      </c>
      <c r="Q38" s="3" t="s">
        <v>53</v>
      </c>
      <c r="R38" s="3" t="s">
        <v>201</v>
      </c>
      <c r="S38" s="3" t="s">
        <v>53</v>
      </c>
      <c r="T38" s="3" t="s">
        <v>202</v>
      </c>
      <c r="U38" s="3" t="s">
        <v>53</v>
      </c>
      <c r="V38" s="3" t="s">
        <v>203</v>
      </c>
      <c r="W38" s="3" t="s">
        <v>53</v>
      </c>
      <c r="X38" s="3" t="s">
        <v>1067</v>
      </c>
      <c r="Y38" s="3" t="s">
        <v>53</v>
      </c>
      <c r="Z38" s="3" t="s">
        <v>423</v>
      </c>
      <c r="AA38" s="3" t="s">
        <v>53</v>
      </c>
      <c r="AB38" s="3" t="s">
        <v>213</v>
      </c>
      <c r="AC38" s="3" t="s">
        <v>53</v>
      </c>
      <c r="AD38" s="3" t="s">
        <v>220</v>
      </c>
      <c r="AE38" s="3" t="s">
        <v>53</v>
      </c>
      <c r="AF38" s="3" t="s">
        <v>1083</v>
      </c>
      <c r="AG38" s="3" t="s">
        <v>53</v>
      </c>
      <c r="AH38" s="3" t="s">
        <v>1084</v>
      </c>
      <c r="AI38" s="3" t="s">
        <v>53</v>
      </c>
      <c r="AJ38" s="3" t="s">
        <v>1085</v>
      </c>
      <c r="AK38" s="3" t="s">
        <v>53</v>
      </c>
      <c r="AL38" s="3" t="s">
        <v>1086</v>
      </c>
      <c r="AM38" s="3" t="s">
        <v>53</v>
      </c>
      <c r="AN38" s="3" t="s">
        <v>924</v>
      </c>
      <c r="AO38" s="3" t="s">
        <v>53</v>
      </c>
      <c r="AP38" s="3" t="s">
        <v>291</v>
      </c>
      <c r="AQ38" s="3" t="s">
        <v>53</v>
      </c>
      <c r="AR38" s="3" t="s">
        <v>575</v>
      </c>
      <c r="AS38" s="3" t="s">
        <v>53</v>
      </c>
      <c r="AT38" s="3" t="s">
        <v>411</v>
      </c>
      <c r="AU38" s="3" t="s">
        <v>53</v>
      </c>
      <c r="AV38" s="3" t="s">
        <v>1087</v>
      </c>
      <c r="AW38" s="3" t="s">
        <v>53</v>
      </c>
      <c r="AX38" s="3" t="s">
        <v>226</v>
      </c>
      <c r="AY38" s="3" t="s">
        <v>53</v>
      </c>
      <c r="AZ38" s="3" t="s">
        <v>1088</v>
      </c>
      <c r="BA38" s="3" t="s">
        <v>53</v>
      </c>
      <c r="BB38" s="3" t="s">
        <v>234</v>
      </c>
      <c r="BC38" s="3" t="s">
        <v>53</v>
      </c>
      <c r="BD38" s="3" t="s">
        <v>227</v>
      </c>
      <c r="BE38" s="3" t="s">
        <v>53</v>
      </c>
      <c r="BF38" s="3" t="s">
        <v>253</v>
      </c>
      <c r="BG38" s="3" t="s">
        <v>53</v>
      </c>
      <c r="BH38" s="3" t="s">
        <v>234</v>
      </c>
      <c r="BI38" s="3" t="s">
        <v>53</v>
      </c>
      <c r="BJ38" s="3" t="s">
        <v>318</v>
      </c>
      <c r="BK38" s="3" t="s">
        <v>53</v>
      </c>
      <c r="BL38" s="3" t="s">
        <v>319</v>
      </c>
      <c r="BM38" s="3" t="s">
        <v>53</v>
      </c>
      <c r="BN38" s="3" t="s">
        <v>230</v>
      </c>
      <c r="BO38" s="3" t="s">
        <v>53</v>
      </c>
      <c r="BP38" s="3" t="s">
        <v>1089</v>
      </c>
      <c r="BQ38" s="3" t="s">
        <v>53</v>
      </c>
      <c r="BR38" s="3" t="s">
        <v>682</v>
      </c>
      <c r="BS38" s="3" t="s">
        <v>53</v>
      </c>
      <c r="BT38" s="3" t="s">
        <v>374</v>
      </c>
      <c r="BU38" s="3" t="s">
        <v>53</v>
      </c>
      <c r="BV38" s="3" t="s">
        <v>277</v>
      </c>
      <c r="BW38" s="3" t="s">
        <v>53</v>
      </c>
      <c r="BX38" s="3" t="s">
        <v>690</v>
      </c>
      <c r="BY38" s="3" t="s">
        <v>53</v>
      </c>
      <c r="BZ38" s="3" t="s">
        <v>553</v>
      </c>
      <c r="CA38" s="3" t="s">
        <v>53</v>
      </c>
      <c r="CB38" s="3" t="s">
        <v>740</v>
      </c>
      <c r="CC38" s="3" t="s">
        <v>53</v>
      </c>
      <c r="CD38" s="3" t="s">
        <v>812</v>
      </c>
      <c r="CE38" s="3" t="s">
        <v>53</v>
      </c>
      <c r="CF38" s="3" t="s">
        <v>605</v>
      </c>
      <c r="CG38" s="3" t="s">
        <v>53</v>
      </c>
      <c r="CH38" s="3" t="s">
        <v>262</v>
      </c>
    </row>
    <row r="39" spans="1:86" x14ac:dyDescent="0.55000000000000004">
      <c r="A39" s="3" t="s">
        <v>683</v>
      </c>
      <c r="B39" s="3" t="s">
        <v>684</v>
      </c>
      <c r="C39" s="3" t="s">
        <v>76</v>
      </c>
      <c r="D39" s="3" t="s">
        <v>52</v>
      </c>
      <c r="E39" s="3" t="s">
        <v>75</v>
      </c>
      <c r="F39" s="3" t="s">
        <v>741</v>
      </c>
      <c r="G39" s="3" t="s">
        <v>50</v>
      </c>
      <c r="H39" s="3" t="s">
        <v>77</v>
      </c>
      <c r="I39" s="3" t="s">
        <v>56</v>
      </c>
      <c r="J39" s="3" t="s">
        <v>78</v>
      </c>
      <c r="K39" s="3" t="s">
        <v>79</v>
      </c>
      <c r="L39" s="3" t="s">
        <v>52</v>
      </c>
      <c r="M39" s="3" t="s">
        <v>76</v>
      </c>
      <c r="N39" s="3" t="s">
        <v>63</v>
      </c>
      <c r="O39" s="3" t="s">
        <v>53</v>
      </c>
      <c r="P39" s="3" t="s">
        <v>214</v>
      </c>
      <c r="Q39" s="3" t="s">
        <v>53</v>
      </c>
      <c r="R39" s="3" t="s">
        <v>200</v>
      </c>
      <c r="S39" s="3" t="s">
        <v>53</v>
      </c>
      <c r="T39" s="3" t="s">
        <v>201</v>
      </c>
      <c r="U39" s="3" t="s">
        <v>53</v>
      </c>
      <c r="V39" s="3" t="s">
        <v>202</v>
      </c>
      <c r="W39" s="3" t="s">
        <v>53</v>
      </c>
      <c r="X39" s="3" t="s">
        <v>422</v>
      </c>
      <c r="Y39" s="3" t="s">
        <v>53</v>
      </c>
      <c r="Z39" s="3" t="s">
        <v>356</v>
      </c>
      <c r="AA39" s="3" t="s">
        <v>53</v>
      </c>
      <c r="AB39" s="3" t="s">
        <v>204</v>
      </c>
      <c r="AC39" s="3" t="s">
        <v>53</v>
      </c>
      <c r="AD39" s="3" t="s">
        <v>205</v>
      </c>
      <c r="AE39" s="3" t="s">
        <v>53</v>
      </c>
      <c r="AF39" s="3" t="s">
        <v>1090</v>
      </c>
      <c r="AG39" s="3" t="s">
        <v>53</v>
      </c>
      <c r="AH39" s="3" t="s">
        <v>1091</v>
      </c>
      <c r="AI39" s="3" t="s">
        <v>53</v>
      </c>
      <c r="AJ39" s="3" t="s">
        <v>1092</v>
      </c>
      <c r="AK39" s="3" t="s">
        <v>53</v>
      </c>
      <c r="AL39" s="3" t="s">
        <v>1093</v>
      </c>
      <c r="AM39" s="3" t="s">
        <v>53</v>
      </c>
      <c r="AN39" s="3" t="s">
        <v>397</v>
      </c>
      <c r="AO39" s="3" t="s">
        <v>53</v>
      </c>
      <c r="AP39" s="3" t="s">
        <v>652</v>
      </c>
      <c r="AQ39" s="3" t="s">
        <v>53</v>
      </c>
      <c r="AR39" s="3" t="s">
        <v>522</v>
      </c>
      <c r="AS39" s="3" t="s">
        <v>53</v>
      </c>
      <c r="AT39" s="3" t="s">
        <v>326</v>
      </c>
      <c r="AU39" s="3" t="s">
        <v>53</v>
      </c>
      <c r="AV39" s="3" t="s">
        <v>1094</v>
      </c>
      <c r="AW39" s="3" t="s">
        <v>53</v>
      </c>
      <c r="AX39" s="3" t="s">
        <v>283</v>
      </c>
      <c r="AY39" s="3" t="s">
        <v>53</v>
      </c>
      <c r="AZ39" s="3" t="s">
        <v>1095</v>
      </c>
      <c r="BA39" s="3" t="s">
        <v>53</v>
      </c>
      <c r="BB39" s="3" t="s">
        <v>234</v>
      </c>
      <c r="BC39" s="3" t="s">
        <v>53</v>
      </c>
      <c r="BD39" s="3" t="s">
        <v>227</v>
      </c>
      <c r="BE39" s="3" t="s">
        <v>53</v>
      </c>
      <c r="BF39" s="3" t="s">
        <v>209</v>
      </c>
      <c r="BG39" s="3" t="s">
        <v>53</v>
      </c>
      <c r="BH39" s="3" t="s">
        <v>234</v>
      </c>
      <c r="BI39" s="3" t="s">
        <v>53</v>
      </c>
      <c r="BJ39" s="3" t="s">
        <v>217</v>
      </c>
      <c r="BK39" s="3" t="s">
        <v>53</v>
      </c>
      <c r="BL39" s="3" t="s">
        <v>218</v>
      </c>
      <c r="BM39" s="3" t="s">
        <v>53</v>
      </c>
      <c r="BN39" s="3" t="s">
        <v>261</v>
      </c>
      <c r="BO39" s="3" t="s">
        <v>53</v>
      </c>
      <c r="BP39" s="3" t="s">
        <v>1096</v>
      </c>
      <c r="BQ39" s="3" t="s">
        <v>53</v>
      </c>
      <c r="BR39" s="3" t="s">
        <v>1097</v>
      </c>
      <c r="BS39" s="3" t="s">
        <v>53</v>
      </c>
      <c r="BT39" s="3" t="s">
        <v>260</v>
      </c>
      <c r="BU39" s="3" t="s">
        <v>53</v>
      </c>
      <c r="BV39" s="3" t="s">
        <v>362</v>
      </c>
      <c r="BW39" s="3" t="s">
        <v>53</v>
      </c>
      <c r="BX39" s="3" t="s">
        <v>527</v>
      </c>
      <c r="BY39" s="3" t="s">
        <v>53</v>
      </c>
      <c r="BZ39" s="3" t="s">
        <v>1098</v>
      </c>
      <c r="CA39" s="3" t="s">
        <v>53</v>
      </c>
      <c r="CB39" s="3" t="s">
        <v>900</v>
      </c>
      <c r="CC39" s="3" t="s">
        <v>53</v>
      </c>
      <c r="CD39" s="3" t="s">
        <v>652</v>
      </c>
      <c r="CE39" s="3" t="s">
        <v>53</v>
      </c>
      <c r="CF39" s="3" t="s">
        <v>358</v>
      </c>
      <c r="CG39" s="3" t="s">
        <v>53</v>
      </c>
      <c r="CH39" s="3" t="s">
        <v>275</v>
      </c>
    </row>
    <row r="40" spans="1:86" x14ac:dyDescent="0.55000000000000004">
      <c r="A40" s="3" t="s">
        <v>687</v>
      </c>
      <c r="B40" s="3" t="s">
        <v>688</v>
      </c>
      <c r="C40" s="3" t="s">
        <v>68</v>
      </c>
      <c r="D40" s="3" t="s">
        <v>52</v>
      </c>
      <c r="E40" s="3" t="s">
        <v>75</v>
      </c>
      <c r="F40" s="3" t="s">
        <v>741</v>
      </c>
      <c r="G40" s="3" t="s">
        <v>50</v>
      </c>
      <c r="H40" s="3" t="s">
        <v>55</v>
      </c>
      <c r="I40" s="3" t="s">
        <v>56</v>
      </c>
      <c r="J40" s="3" t="s">
        <v>78</v>
      </c>
      <c r="K40" s="3" t="s">
        <v>79</v>
      </c>
      <c r="L40" s="3" t="s">
        <v>52</v>
      </c>
      <c r="M40" s="3" t="s">
        <v>68</v>
      </c>
      <c r="N40" s="3" t="s">
        <v>72</v>
      </c>
      <c r="O40" s="3" t="s">
        <v>53</v>
      </c>
      <c r="P40" s="3" t="s">
        <v>238</v>
      </c>
      <c r="Q40" s="3" t="s">
        <v>53</v>
      </c>
      <c r="R40" s="3" t="s">
        <v>214</v>
      </c>
      <c r="S40" s="3" t="s">
        <v>53</v>
      </c>
      <c r="T40" s="3" t="s">
        <v>200</v>
      </c>
      <c r="U40" s="3" t="s">
        <v>53</v>
      </c>
      <c r="V40" s="3" t="s">
        <v>201</v>
      </c>
      <c r="W40" s="3" t="s">
        <v>53</v>
      </c>
      <c r="X40" s="3" t="s">
        <v>1099</v>
      </c>
      <c r="Y40" s="3" t="s">
        <v>53</v>
      </c>
      <c r="Z40" s="3" t="s">
        <v>315</v>
      </c>
      <c r="AA40" s="3" t="s">
        <v>53</v>
      </c>
      <c r="AB40" s="3" t="s">
        <v>222</v>
      </c>
      <c r="AC40" s="3" t="s">
        <v>53</v>
      </c>
      <c r="AD40" s="3" t="s">
        <v>239</v>
      </c>
      <c r="AE40" s="3" t="s">
        <v>53</v>
      </c>
      <c r="AF40" s="3" t="s">
        <v>1100</v>
      </c>
      <c r="AG40" s="3" t="s">
        <v>53</v>
      </c>
      <c r="AH40" s="3" t="s">
        <v>1101</v>
      </c>
      <c r="AI40" s="3" t="s">
        <v>53</v>
      </c>
      <c r="AJ40" s="3" t="s">
        <v>1102</v>
      </c>
      <c r="AK40" s="3" t="s">
        <v>53</v>
      </c>
      <c r="AL40" s="3" t="s">
        <v>598</v>
      </c>
      <c r="AM40" s="3" t="s">
        <v>53</v>
      </c>
      <c r="AN40" s="3" t="s">
        <v>1103</v>
      </c>
      <c r="AO40" s="3" t="s">
        <v>53</v>
      </c>
      <c r="AP40" s="3" t="s">
        <v>657</v>
      </c>
      <c r="AQ40" s="3" t="s">
        <v>53</v>
      </c>
      <c r="AR40" s="3" t="s">
        <v>517</v>
      </c>
      <c r="AS40" s="3" t="s">
        <v>53</v>
      </c>
      <c r="AT40" s="3" t="s">
        <v>215</v>
      </c>
      <c r="AU40" s="3" t="s">
        <v>53</v>
      </c>
      <c r="AV40" s="3" t="s">
        <v>1104</v>
      </c>
      <c r="AW40" s="3" t="s">
        <v>53</v>
      </c>
      <c r="AX40" s="3" t="s">
        <v>663</v>
      </c>
      <c r="AY40" s="3" t="s">
        <v>53</v>
      </c>
      <c r="AZ40" s="3" t="s">
        <v>1105</v>
      </c>
      <c r="BA40" s="3" t="s">
        <v>53</v>
      </c>
      <c r="BB40" s="3" t="s">
        <v>209</v>
      </c>
      <c r="BC40" s="3" t="s">
        <v>53</v>
      </c>
      <c r="BD40" s="3" t="s">
        <v>227</v>
      </c>
      <c r="BE40" s="3" t="s">
        <v>53</v>
      </c>
      <c r="BF40" s="3" t="s">
        <v>234</v>
      </c>
      <c r="BG40" s="3" t="s">
        <v>53</v>
      </c>
      <c r="BH40" s="3" t="s">
        <v>216</v>
      </c>
      <c r="BI40" s="3" t="s">
        <v>53</v>
      </c>
      <c r="BJ40" s="3" t="s">
        <v>269</v>
      </c>
      <c r="BK40" s="3" t="s">
        <v>53</v>
      </c>
      <c r="BL40" s="3" t="s">
        <v>270</v>
      </c>
      <c r="BM40" s="3" t="s">
        <v>53</v>
      </c>
      <c r="BN40" s="3" t="s">
        <v>297</v>
      </c>
      <c r="BO40" s="3" t="s">
        <v>53</v>
      </c>
      <c r="BP40" s="3" t="s">
        <v>1106</v>
      </c>
      <c r="BQ40" s="3" t="s">
        <v>53</v>
      </c>
      <c r="BR40" s="3" t="s">
        <v>1107</v>
      </c>
      <c r="BS40" s="3" t="s">
        <v>53</v>
      </c>
      <c r="BT40" s="3" t="s">
        <v>374</v>
      </c>
      <c r="BU40" s="3" t="s">
        <v>53</v>
      </c>
      <c r="BV40" s="3" t="s">
        <v>355</v>
      </c>
      <c r="BW40" s="3" t="s">
        <v>53</v>
      </c>
      <c r="BX40" s="3" t="s">
        <v>298</v>
      </c>
      <c r="BY40" s="3" t="s">
        <v>53</v>
      </c>
      <c r="BZ40" s="3" t="s">
        <v>630</v>
      </c>
      <c r="CA40" s="3" t="s">
        <v>53</v>
      </c>
      <c r="CB40" s="3" t="s">
        <v>327</v>
      </c>
      <c r="CC40" s="3" t="s">
        <v>53</v>
      </c>
      <c r="CD40" s="3" t="s">
        <v>972</v>
      </c>
      <c r="CE40" s="3" t="s">
        <v>53</v>
      </c>
      <c r="CF40" s="3" t="s">
        <v>248</v>
      </c>
      <c r="CG40" s="3" t="s">
        <v>53</v>
      </c>
      <c r="CH40" s="3" t="s">
        <v>368</v>
      </c>
    </row>
    <row r="41" spans="1:86" x14ac:dyDescent="0.55000000000000004">
      <c r="A41" s="3" t="s">
        <v>692</v>
      </c>
      <c r="B41" s="3" t="s">
        <v>693</v>
      </c>
      <c r="C41" s="3" t="s">
        <v>51</v>
      </c>
      <c r="D41" s="3" t="s">
        <v>52</v>
      </c>
      <c r="E41" s="3" t="s">
        <v>694</v>
      </c>
      <c r="F41" s="3" t="s">
        <v>726</v>
      </c>
      <c r="G41" s="3" t="s">
        <v>50</v>
      </c>
      <c r="H41" s="3" t="s">
        <v>55</v>
      </c>
      <c r="I41" s="3" t="s">
        <v>56</v>
      </c>
      <c r="J41" s="3" t="s">
        <v>60</v>
      </c>
      <c r="K41" s="3" t="s">
        <v>58</v>
      </c>
      <c r="L41" s="3" t="s">
        <v>52</v>
      </c>
      <c r="M41" s="3" t="s">
        <v>51</v>
      </c>
      <c r="N41" s="3" t="s">
        <v>72</v>
      </c>
      <c r="O41" s="3" t="s">
        <v>53</v>
      </c>
      <c r="P41" s="3" t="s">
        <v>238</v>
      </c>
      <c r="Q41" s="3" t="s">
        <v>53</v>
      </c>
      <c r="R41" s="3" t="s">
        <v>214</v>
      </c>
      <c r="S41" s="3" t="s">
        <v>53</v>
      </c>
      <c r="T41" s="3" t="s">
        <v>200</v>
      </c>
      <c r="U41" s="3" t="s">
        <v>53</v>
      </c>
      <c r="V41" s="3" t="s">
        <v>201</v>
      </c>
      <c r="W41" s="3" t="s">
        <v>53</v>
      </c>
      <c r="X41" s="3" t="s">
        <v>346</v>
      </c>
      <c r="Y41" s="3" t="s">
        <v>53</v>
      </c>
      <c r="Z41" s="3" t="s">
        <v>423</v>
      </c>
      <c r="AA41" s="3" t="s">
        <v>53</v>
      </c>
      <c r="AB41" s="3" t="s">
        <v>265</v>
      </c>
      <c r="AC41" s="3" t="s">
        <v>53</v>
      </c>
      <c r="AD41" s="3" t="s">
        <v>347</v>
      </c>
      <c r="AE41" s="3" t="s">
        <v>53</v>
      </c>
      <c r="AF41" s="3" t="s">
        <v>1108</v>
      </c>
      <c r="AG41" s="3" t="s">
        <v>53</v>
      </c>
      <c r="AH41" s="3" t="s">
        <v>1109</v>
      </c>
      <c r="AI41" s="3" t="s">
        <v>53</v>
      </c>
      <c r="AJ41" s="3" t="s">
        <v>1110</v>
      </c>
      <c r="AK41" s="3" t="s">
        <v>53</v>
      </c>
      <c r="AL41" s="3" t="s">
        <v>669</v>
      </c>
      <c r="AM41" s="3" t="s">
        <v>53</v>
      </c>
      <c r="AN41" s="3" t="s">
        <v>632</v>
      </c>
      <c r="AO41" s="3" t="s">
        <v>53</v>
      </c>
      <c r="AP41" s="3" t="s">
        <v>215</v>
      </c>
      <c r="AQ41" s="3" t="s">
        <v>53</v>
      </c>
      <c r="AR41" s="3" t="s">
        <v>316</v>
      </c>
      <c r="AS41" s="3" t="s">
        <v>53</v>
      </c>
      <c r="AT41" s="3" t="s">
        <v>278</v>
      </c>
      <c r="AU41" s="3" t="s">
        <v>53</v>
      </c>
      <c r="AV41" s="3" t="s">
        <v>583</v>
      </c>
      <c r="AW41" s="3" t="s">
        <v>53</v>
      </c>
      <c r="AX41" s="3" t="s">
        <v>613</v>
      </c>
      <c r="AY41" s="3" t="s">
        <v>53</v>
      </c>
      <c r="AZ41" s="3" t="s">
        <v>673</v>
      </c>
      <c r="BA41" s="3" t="s">
        <v>53</v>
      </c>
      <c r="BB41" s="3" t="s">
        <v>253</v>
      </c>
      <c r="BC41" s="3" t="s">
        <v>53</v>
      </c>
      <c r="BD41" s="3" t="s">
        <v>227</v>
      </c>
      <c r="BE41" s="3" t="s">
        <v>53</v>
      </c>
      <c r="BF41" s="3" t="s">
        <v>216</v>
      </c>
      <c r="BG41" s="3" t="s">
        <v>53</v>
      </c>
      <c r="BH41" s="3" t="s">
        <v>208</v>
      </c>
      <c r="BI41" s="3" t="s">
        <v>53</v>
      </c>
      <c r="BJ41" s="3" t="s">
        <v>340</v>
      </c>
      <c r="BK41" s="3" t="s">
        <v>53</v>
      </c>
      <c r="BL41" s="3" t="s">
        <v>341</v>
      </c>
      <c r="BM41" s="3" t="s">
        <v>53</v>
      </c>
      <c r="BN41" s="3" t="s">
        <v>297</v>
      </c>
      <c r="BO41" s="3" t="s">
        <v>53</v>
      </c>
      <c r="BP41" s="3" t="s">
        <v>1111</v>
      </c>
      <c r="BQ41" s="3" t="s">
        <v>53</v>
      </c>
      <c r="BR41" s="3" t="s">
        <v>609</v>
      </c>
      <c r="BS41" s="3" t="s">
        <v>53</v>
      </c>
      <c r="BT41" s="3" t="s">
        <v>331</v>
      </c>
      <c r="BU41" s="3" t="s">
        <v>53</v>
      </c>
      <c r="BV41" s="3" t="s">
        <v>518</v>
      </c>
      <c r="BW41" s="3" t="s">
        <v>53</v>
      </c>
      <c r="BX41" s="3" t="s">
        <v>281</v>
      </c>
      <c r="BY41" s="3" t="s">
        <v>53</v>
      </c>
      <c r="BZ41" s="3" t="s">
        <v>1112</v>
      </c>
      <c r="CA41" s="3" t="s">
        <v>53</v>
      </c>
      <c r="CB41" s="3" t="s">
        <v>575</v>
      </c>
      <c r="CC41" s="3" t="s">
        <v>53</v>
      </c>
      <c r="CD41" s="3" t="s">
        <v>822</v>
      </c>
      <c r="CE41" s="3" t="s">
        <v>53</v>
      </c>
      <c r="CF41" s="3" t="s">
        <v>254</v>
      </c>
      <c r="CG41" s="3" t="s">
        <v>53</v>
      </c>
      <c r="CH41" s="3" t="s">
        <v>230</v>
      </c>
    </row>
    <row r="42" spans="1:86" x14ac:dyDescent="0.55000000000000004">
      <c r="A42" s="3" t="s">
        <v>584</v>
      </c>
      <c r="B42" s="3" t="s">
        <v>585</v>
      </c>
      <c r="C42" s="3" t="s">
        <v>83</v>
      </c>
      <c r="D42" s="3" t="s">
        <v>52</v>
      </c>
      <c r="E42" s="3" t="s">
        <v>62</v>
      </c>
      <c r="F42" s="3" t="s">
        <v>726</v>
      </c>
      <c r="G42" s="3" t="s">
        <v>50</v>
      </c>
      <c r="H42" s="3" t="s">
        <v>55</v>
      </c>
      <c r="I42" s="3" t="s">
        <v>56</v>
      </c>
      <c r="J42" s="3" t="s">
        <v>60</v>
      </c>
      <c r="K42" s="3" t="s">
        <v>58</v>
      </c>
      <c r="L42" s="3" t="s">
        <v>52</v>
      </c>
      <c r="M42" s="3" t="s">
        <v>83</v>
      </c>
      <c r="N42" s="3" t="s">
        <v>84</v>
      </c>
      <c r="O42" s="3" t="s">
        <v>53</v>
      </c>
      <c r="P42" s="3" t="s">
        <v>237</v>
      </c>
      <c r="Q42" s="3" t="s">
        <v>53</v>
      </c>
      <c r="R42" s="3" t="s">
        <v>238</v>
      </c>
      <c r="S42" s="3" t="s">
        <v>53</v>
      </c>
      <c r="T42" s="3" t="s">
        <v>214</v>
      </c>
      <c r="U42" s="3" t="s">
        <v>53</v>
      </c>
      <c r="V42" s="3" t="s">
        <v>200</v>
      </c>
      <c r="W42" s="3" t="s">
        <v>53</v>
      </c>
      <c r="X42" s="3" t="s">
        <v>213</v>
      </c>
      <c r="Y42" s="3" t="s">
        <v>53</v>
      </c>
      <c r="Z42" s="3" t="s">
        <v>325</v>
      </c>
      <c r="AA42" s="3" t="s">
        <v>53</v>
      </c>
      <c r="AB42" s="3" t="s">
        <v>280</v>
      </c>
      <c r="AC42" s="3" t="s">
        <v>53</v>
      </c>
      <c r="AD42" s="3" t="s">
        <v>384</v>
      </c>
      <c r="AE42" s="3" t="s">
        <v>53</v>
      </c>
      <c r="AF42" s="3" t="s">
        <v>1113</v>
      </c>
      <c r="AG42" s="3" t="s">
        <v>53</v>
      </c>
      <c r="AH42" s="3" t="s">
        <v>1114</v>
      </c>
      <c r="AI42" s="3" t="s">
        <v>53</v>
      </c>
      <c r="AJ42" s="3" t="s">
        <v>1115</v>
      </c>
      <c r="AK42" s="3" t="s">
        <v>53</v>
      </c>
      <c r="AL42" s="3" t="s">
        <v>1116</v>
      </c>
      <c r="AM42" s="3" t="s">
        <v>53</v>
      </c>
      <c r="AN42" s="3" t="s">
        <v>363</v>
      </c>
      <c r="AO42" s="3" t="s">
        <v>53</v>
      </c>
      <c r="AP42" s="3" t="s">
        <v>1117</v>
      </c>
      <c r="AQ42" s="3" t="s">
        <v>53</v>
      </c>
      <c r="AR42" s="3" t="s">
        <v>1118</v>
      </c>
      <c r="AS42" s="3" t="s">
        <v>53</v>
      </c>
      <c r="AT42" s="3" t="s">
        <v>258</v>
      </c>
      <c r="AU42" s="3" t="s">
        <v>53</v>
      </c>
      <c r="AV42" s="3" t="s">
        <v>1119</v>
      </c>
      <c r="AW42" s="3" t="s">
        <v>53</v>
      </c>
      <c r="AX42" s="3" t="s">
        <v>556</v>
      </c>
      <c r="AY42" s="3" t="s">
        <v>53</v>
      </c>
      <c r="AZ42" s="3" t="s">
        <v>1120</v>
      </c>
      <c r="BA42" s="3" t="s">
        <v>53</v>
      </c>
      <c r="BB42" s="3" t="s">
        <v>234</v>
      </c>
      <c r="BC42" s="3" t="s">
        <v>53</v>
      </c>
      <c r="BD42" s="3" t="s">
        <v>241</v>
      </c>
      <c r="BE42" s="3" t="s">
        <v>53</v>
      </c>
      <c r="BF42" s="3" t="s">
        <v>234</v>
      </c>
      <c r="BG42" s="3" t="s">
        <v>53</v>
      </c>
      <c r="BH42" s="3" t="s">
        <v>234</v>
      </c>
      <c r="BI42" s="3" t="s">
        <v>53</v>
      </c>
      <c r="BJ42" s="3" t="s">
        <v>243</v>
      </c>
      <c r="BK42" s="3" t="s">
        <v>53</v>
      </c>
      <c r="BL42" s="3" t="s">
        <v>244</v>
      </c>
      <c r="BM42" s="3" t="s">
        <v>53</v>
      </c>
      <c r="BN42" s="3" t="s">
        <v>250</v>
      </c>
      <c r="BO42" s="3" t="s">
        <v>53</v>
      </c>
      <c r="BP42" s="3" t="s">
        <v>1121</v>
      </c>
      <c r="BQ42" s="3" t="s">
        <v>53</v>
      </c>
      <c r="BR42" s="3" t="s">
        <v>647</v>
      </c>
      <c r="BS42" s="3" t="s">
        <v>53</v>
      </c>
      <c r="BT42" s="3" t="s">
        <v>374</v>
      </c>
      <c r="BU42" s="3" t="s">
        <v>53</v>
      </c>
      <c r="BV42" s="3" t="s">
        <v>900</v>
      </c>
      <c r="BW42" s="3" t="s">
        <v>53</v>
      </c>
      <c r="BX42" s="3" t="s">
        <v>538</v>
      </c>
      <c r="BY42" s="3" t="s">
        <v>53</v>
      </c>
      <c r="BZ42" s="3" t="s">
        <v>1122</v>
      </c>
      <c r="CA42" s="3" t="s">
        <v>53</v>
      </c>
      <c r="CB42" s="3" t="s">
        <v>946</v>
      </c>
      <c r="CC42" s="3" t="s">
        <v>53</v>
      </c>
      <c r="CD42" s="3" t="s">
        <v>386</v>
      </c>
      <c r="CE42" s="3" t="s">
        <v>53</v>
      </c>
      <c r="CF42" s="3" t="s">
        <v>1067</v>
      </c>
      <c r="CG42" s="3" t="s">
        <v>53</v>
      </c>
      <c r="CH42" s="3" t="s">
        <v>526</v>
      </c>
    </row>
    <row r="43" spans="1:86" x14ac:dyDescent="0.55000000000000004">
      <c r="A43" s="3" t="s">
        <v>570</v>
      </c>
      <c r="B43" s="3" t="s">
        <v>571</v>
      </c>
      <c r="C43" s="3" t="s">
        <v>51</v>
      </c>
      <c r="D43" s="3" t="s">
        <v>52</v>
      </c>
      <c r="E43" s="3" t="s">
        <v>75</v>
      </c>
      <c r="F43" s="3" t="s">
        <v>726</v>
      </c>
      <c r="G43" s="3" t="s">
        <v>50</v>
      </c>
      <c r="H43" s="3" t="s">
        <v>55</v>
      </c>
      <c r="I43" s="3" t="s">
        <v>56</v>
      </c>
      <c r="J43" s="3" t="s">
        <v>60</v>
      </c>
      <c r="K43" s="3" t="s">
        <v>58</v>
      </c>
      <c r="L43" s="3" t="s">
        <v>52</v>
      </c>
      <c r="M43" s="3" t="s">
        <v>51</v>
      </c>
      <c r="N43" s="3" t="s">
        <v>59</v>
      </c>
      <c r="O43" s="3" t="s">
        <v>53</v>
      </c>
      <c r="P43" s="3" t="s">
        <v>238</v>
      </c>
      <c r="Q43" s="3" t="s">
        <v>53</v>
      </c>
      <c r="R43" s="3" t="s">
        <v>214</v>
      </c>
      <c r="S43" s="3" t="s">
        <v>53</v>
      </c>
      <c r="T43" s="3" t="s">
        <v>200</v>
      </c>
      <c r="U43" s="3" t="s">
        <v>53</v>
      </c>
      <c r="V43" s="3" t="s">
        <v>201</v>
      </c>
      <c r="W43" s="3" t="s">
        <v>53</v>
      </c>
      <c r="X43" s="3" t="s">
        <v>356</v>
      </c>
      <c r="Y43" s="3" t="s">
        <v>53</v>
      </c>
      <c r="Z43" s="3" t="s">
        <v>286</v>
      </c>
      <c r="AA43" s="3" t="s">
        <v>53</v>
      </c>
      <c r="AB43" s="3" t="s">
        <v>213</v>
      </c>
      <c r="AC43" s="3" t="s">
        <v>53</v>
      </c>
      <c r="AD43" s="3" t="s">
        <v>325</v>
      </c>
      <c r="AE43" s="3" t="s">
        <v>53</v>
      </c>
      <c r="AF43" s="3" t="s">
        <v>1123</v>
      </c>
      <c r="AG43" s="3" t="s">
        <v>53</v>
      </c>
      <c r="AH43" s="3" t="s">
        <v>1124</v>
      </c>
      <c r="AI43" s="3" t="s">
        <v>53</v>
      </c>
      <c r="AJ43" s="3" t="s">
        <v>1125</v>
      </c>
      <c r="AK43" s="3" t="s">
        <v>53</v>
      </c>
      <c r="AL43" s="3" t="s">
        <v>1126</v>
      </c>
      <c r="AM43" s="3" t="s">
        <v>53</v>
      </c>
      <c r="AN43" s="3" t="s">
        <v>671</v>
      </c>
      <c r="AO43" s="3" t="s">
        <v>53</v>
      </c>
      <c r="AP43" s="3" t="s">
        <v>326</v>
      </c>
      <c r="AQ43" s="3" t="s">
        <v>53</v>
      </c>
      <c r="AR43" s="3" t="s">
        <v>1127</v>
      </c>
      <c r="AS43" s="3" t="s">
        <v>53</v>
      </c>
      <c r="AT43" s="3" t="s">
        <v>206</v>
      </c>
      <c r="AU43" s="3" t="s">
        <v>53</v>
      </c>
      <c r="AV43" s="3" t="s">
        <v>1128</v>
      </c>
      <c r="AW43" s="3" t="s">
        <v>53</v>
      </c>
      <c r="AX43" s="3" t="s">
        <v>556</v>
      </c>
      <c r="AY43" s="3" t="s">
        <v>53</v>
      </c>
      <c r="AZ43" s="3" t="s">
        <v>1129</v>
      </c>
      <c r="BA43" s="3" t="s">
        <v>53</v>
      </c>
      <c r="BB43" s="3" t="s">
        <v>227</v>
      </c>
      <c r="BC43" s="3" t="s">
        <v>53</v>
      </c>
      <c r="BD43" s="3" t="s">
        <v>227</v>
      </c>
      <c r="BE43" s="3" t="s">
        <v>53</v>
      </c>
      <c r="BF43" s="3" t="s">
        <v>234</v>
      </c>
      <c r="BG43" s="3" t="s">
        <v>53</v>
      </c>
      <c r="BH43" s="3" t="s">
        <v>253</v>
      </c>
      <c r="BI43" s="3" t="s">
        <v>53</v>
      </c>
      <c r="BJ43" s="3" t="s">
        <v>519</v>
      </c>
      <c r="BK43" s="3" t="s">
        <v>53</v>
      </c>
      <c r="BL43" s="3" t="s">
        <v>520</v>
      </c>
      <c r="BM43" s="3" t="s">
        <v>53</v>
      </c>
      <c r="BN43" s="3" t="s">
        <v>297</v>
      </c>
      <c r="BO43" s="3" t="s">
        <v>53</v>
      </c>
      <c r="BP43" s="3" t="s">
        <v>1130</v>
      </c>
      <c r="BQ43" s="3" t="s">
        <v>53</v>
      </c>
      <c r="BR43" s="3" t="s">
        <v>1131</v>
      </c>
      <c r="BS43" s="3" t="s">
        <v>53</v>
      </c>
      <c r="BT43" s="3" t="s">
        <v>236</v>
      </c>
      <c r="BU43" s="3" t="s">
        <v>53</v>
      </c>
      <c r="BV43" s="3" t="s">
        <v>362</v>
      </c>
      <c r="BW43" s="3" t="s">
        <v>53</v>
      </c>
      <c r="BX43" s="3" t="s">
        <v>255</v>
      </c>
      <c r="BY43" s="3" t="s">
        <v>53</v>
      </c>
      <c r="BZ43" s="3" t="s">
        <v>1132</v>
      </c>
      <c r="CA43" s="3" t="s">
        <v>53</v>
      </c>
      <c r="CB43" s="3" t="s">
        <v>1133</v>
      </c>
      <c r="CC43" s="3" t="s">
        <v>53</v>
      </c>
      <c r="CD43" s="3" t="s">
        <v>645</v>
      </c>
      <c r="CE43" s="3" t="s">
        <v>53</v>
      </c>
      <c r="CF43" s="3" t="s">
        <v>272</v>
      </c>
      <c r="CG43" s="3" t="s">
        <v>53</v>
      </c>
      <c r="CH43" s="3" t="s">
        <v>321</v>
      </c>
    </row>
    <row r="44" spans="1:86" x14ac:dyDescent="0.55000000000000004">
      <c r="A44" s="3" t="s">
        <v>1134</v>
      </c>
      <c r="B44" s="3" t="s">
        <v>1135</v>
      </c>
      <c r="C44" s="3" t="s">
        <v>372</v>
      </c>
      <c r="D44" s="3" t="s">
        <v>52</v>
      </c>
      <c r="E44" s="3" t="s">
        <v>396</v>
      </c>
      <c r="F44" s="3" t="s">
        <v>726</v>
      </c>
      <c r="G44" s="3" t="s">
        <v>50</v>
      </c>
      <c r="H44" s="3" t="s">
        <v>77</v>
      </c>
      <c r="I44" s="3" t="s">
        <v>56</v>
      </c>
      <c r="J44" s="3" t="s">
        <v>78</v>
      </c>
      <c r="K44" s="3" t="s">
        <v>79</v>
      </c>
      <c r="L44" s="3" t="s">
        <v>52</v>
      </c>
      <c r="M44" s="3" t="s">
        <v>372</v>
      </c>
      <c r="N44" s="3" t="s">
        <v>82</v>
      </c>
      <c r="O44" s="3" t="s">
        <v>53</v>
      </c>
      <c r="P44" s="3" t="s">
        <v>200</v>
      </c>
      <c r="Q44" s="3" t="s">
        <v>53</v>
      </c>
      <c r="R44" s="3" t="s">
        <v>201</v>
      </c>
      <c r="S44" s="3" t="s">
        <v>53</v>
      </c>
      <c r="T44" s="3" t="s">
        <v>202</v>
      </c>
      <c r="U44" s="3" t="s">
        <v>53</v>
      </c>
      <c r="V44" s="3" t="s">
        <v>203</v>
      </c>
      <c r="W44" s="3" t="s">
        <v>53</v>
      </c>
      <c r="X44" s="3" t="s">
        <v>296</v>
      </c>
      <c r="Y44" s="3" t="s">
        <v>53</v>
      </c>
      <c r="Z44" s="3" t="s">
        <v>358</v>
      </c>
      <c r="AA44" s="3" t="s">
        <v>53</v>
      </c>
      <c r="AB44" s="3" t="s">
        <v>320</v>
      </c>
      <c r="AC44" s="3" t="s">
        <v>53</v>
      </c>
      <c r="AD44" s="3" t="s">
        <v>232</v>
      </c>
      <c r="AE44" s="3" t="s">
        <v>53</v>
      </c>
      <c r="AF44" s="3" t="s">
        <v>1136</v>
      </c>
      <c r="AG44" s="3" t="s">
        <v>53</v>
      </c>
      <c r="AH44" s="3" t="s">
        <v>1137</v>
      </c>
      <c r="AI44" s="3" t="s">
        <v>53</v>
      </c>
      <c r="AJ44" s="3" t="s">
        <v>1138</v>
      </c>
      <c r="AK44" s="3" t="s">
        <v>53</v>
      </c>
      <c r="AL44" s="3" t="s">
        <v>1139</v>
      </c>
      <c r="AM44" s="3" t="s">
        <v>53</v>
      </c>
      <c r="AN44" s="3" t="s">
        <v>962</v>
      </c>
      <c r="AO44" s="3" t="s">
        <v>53</v>
      </c>
      <c r="AP44" s="3" t="s">
        <v>512</v>
      </c>
      <c r="AQ44" s="3" t="s">
        <v>53</v>
      </c>
      <c r="AR44" s="3" t="s">
        <v>398</v>
      </c>
      <c r="AS44" s="3" t="s">
        <v>53</v>
      </c>
      <c r="AT44" s="3" t="s">
        <v>215</v>
      </c>
      <c r="AU44" s="3" t="s">
        <v>53</v>
      </c>
      <c r="AV44" s="3" t="s">
        <v>1087</v>
      </c>
      <c r="AW44" s="3" t="s">
        <v>53</v>
      </c>
      <c r="AX44" s="3" t="s">
        <v>402</v>
      </c>
      <c r="AY44" s="3" t="s">
        <v>53</v>
      </c>
      <c r="AZ44" s="3" t="s">
        <v>1140</v>
      </c>
      <c r="BA44" s="3" t="s">
        <v>53</v>
      </c>
      <c r="BB44" s="3" t="s">
        <v>216</v>
      </c>
      <c r="BC44" s="3" t="s">
        <v>53</v>
      </c>
      <c r="BD44" s="3" t="s">
        <v>227</v>
      </c>
      <c r="BE44" s="3" t="s">
        <v>53</v>
      </c>
      <c r="BF44" s="3" t="s">
        <v>241</v>
      </c>
      <c r="BG44" s="3" t="s">
        <v>53</v>
      </c>
      <c r="BH44" s="3" t="s">
        <v>234</v>
      </c>
      <c r="BI44" s="3" t="s">
        <v>53</v>
      </c>
      <c r="BJ44" s="3" t="s">
        <v>340</v>
      </c>
      <c r="BK44" s="3" t="s">
        <v>53</v>
      </c>
      <c r="BL44" s="3" t="s">
        <v>341</v>
      </c>
      <c r="BM44" s="3" t="s">
        <v>53</v>
      </c>
      <c r="BN44" s="3" t="s">
        <v>228</v>
      </c>
      <c r="BO44" s="3" t="s">
        <v>53</v>
      </c>
      <c r="BP44" s="3" t="s">
        <v>1141</v>
      </c>
      <c r="BQ44" s="3" t="s">
        <v>53</v>
      </c>
      <c r="BR44" s="3" t="s">
        <v>1142</v>
      </c>
      <c r="BS44" s="3" t="s">
        <v>53</v>
      </c>
      <c r="BT44" s="3" t="s">
        <v>373</v>
      </c>
      <c r="BU44" s="3" t="s">
        <v>53</v>
      </c>
      <c r="BV44" s="3" t="s">
        <v>246</v>
      </c>
      <c r="BW44" s="3" t="s">
        <v>53</v>
      </c>
      <c r="BX44" s="3" t="s">
        <v>301</v>
      </c>
      <c r="BY44" s="3" t="s">
        <v>53</v>
      </c>
      <c r="BZ44" s="3" t="s">
        <v>735</v>
      </c>
      <c r="CA44" s="3" t="s">
        <v>53</v>
      </c>
      <c r="CB44" s="3" t="s">
        <v>380</v>
      </c>
      <c r="CC44" s="3" t="s">
        <v>53</v>
      </c>
      <c r="CD44" s="3" t="s">
        <v>736</v>
      </c>
      <c r="CE44" s="3" t="s">
        <v>53</v>
      </c>
      <c r="CF44" s="3" t="s">
        <v>220</v>
      </c>
      <c r="CG44" s="3" t="s">
        <v>53</v>
      </c>
      <c r="CH44" s="3" t="s">
        <v>526</v>
      </c>
    </row>
    <row r="45" spans="1:86" x14ac:dyDescent="0.55000000000000004">
      <c r="A45" s="3" t="s">
        <v>701</v>
      </c>
      <c r="B45" s="3" t="s">
        <v>702</v>
      </c>
      <c r="C45" s="3" t="s">
        <v>61</v>
      </c>
      <c r="D45" s="3" t="s">
        <v>65</v>
      </c>
      <c r="E45" s="3" t="s">
        <v>54</v>
      </c>
      <c r="F45" s="3" t="s">
        <v>741</v>
      </c>
      <c r="G45" s="3" t="s">
        <v>50</v>
      </c>
      <c r="H45" s="3" t="s">
        <v>55</v>
      </c>
      <c r="I45" s="3" t="s">
        <v>56</v>
      </c>
      <c r="J45" s="3" t="s">
        <v>60</v>
      </c>
      <c r="K45" s="3" t="s">
        <v>58</v>
      </c>
      <c r="L45" s="3" t="s">
        <v>65</v>
      </c>
      <c r="M45" s="3" t="s">
        <v>61</v>
      </c>
      <c r="N45" s="3" t="s">
        <v>59</v>
      </c>
      <c r="O45" s="3" t="s">
        <v>53</v>
      </c>
      <c r="P45" s="3" t="s">
        <v>214</v>
      </c>
      <c r="Q45" s="3" t="s">
        <v>53</v>
      </c>
      <c r="R45" s="3" t="s">
        <v>200</v>
      </c>
      <c r="S45" s="3" t="s">
        <v>53</v>
      </c>
      <c r="T45" s="3" t="s">
        <v>201</v>
      </c>
      <c r="U45" s="3" t="s">
        <v>53</v>
      </c>
      <c r="V45" s="3" t="s">
        <v>202</v>
      </c>
      <c r="W45" s="3" t="s">
        <v>53</v>
      </c>
      <c r="X45" s="3" t="s">
        <v>689</v>
      </c>
      <c r="Y45" s="3" t="s">
        <v>53</v>
      </c>
      <c r="Z45" s="3" t="s">
        <v>1099</v>
      </c>
      <c r="AA45" s="3" t="s">
        <v>53</v>
      </c>
      <c r="AB45" s="3" t="s">
        <v>422</v>
      </c>
      <c r="AC45" s="3" t="s">
        <v>53</v>
      </c>
      <c r="AD45" s="3" t="s">
        <v>358</v>
      </c>
      <c r="AE45" s="3" t="s">
        <v>53</v>
      </c>
      <c r="AF45" s="3" t="s">
        <v>1143</v>
      </c>
      <c r="AG45" s="3" t="s">
        <v>53</v>
      </c>
      <c r="AH45" s="3" t="s">
        <v>1144</v>
      </c>
      <c r="AI45" s="3" t="s">
        <v>53</v>
      </c>
      <c r="AJ45" s="3" t="s">
        <v>1145</v>
      </c>
      <c r="AK45" s="3" t="s">
        <v>53</v>
      </c>
      <c r="AL45" s="3" t="s">
        <v>1146</v>
      </c>
      <c r="AM45" s="3" t="s">
        <v>53</v>
      </c>
      <c r="AN45" s="3" t="s">
        <v>844</v>
      </c>
      <c r="AO45" s="3" t="s">
        <v>53</v>
      </c>
      <c r="AP45" s="3" t="s">
        <v>1147</v>
      </c>
      <c r="AQ45" s="3" t="s">
        <v>53</v>
      </c>
      <c r="AR45" s="3" t="s">
        <v>387</v>
      </c>
      <c r="AS45" s="3" t="s">
        <v>53</v>
      </c>
      <c r="AT45" s="3" t="s">
        <v>411</v>
      </c>
      <c r="AU45" s="3" t="s">
        <v>53</v>
      </c>
      <c r="AV45" s="3" t="s">
        <v>1148</v>
      </c>
      <c r="AW45" s="3" t="s">
        <v>53</v>
      </c>
      <c r="AX45" s="3" t="s">
        <v>663</v>
      </c>
      <c r="AY45" s="3" t="s">
        <v>53</v>
      </c>
      <c r="AZ45" s="3" t="s">
        <v>1149</v>
      </c>
      <c r="BA45" s="3" t="s">
        <v>53</v>
      </c>
      <c r="BB45" s="3" t="s">
        <v>234</v>
      </c>
      <c r="BC45" s="3" t="s">
        <v>53</v>
      </c>
      <c r="BD45" s="3" t="s">
        <v>227</v>
      </c>
      <c r="BE45" s="3" t="s">
        <v>53</v>
      </c>
      <c r="BF45" s="3" t="s">
        <v>259</v>
      </c>
      <c r="BG45" s="3" t="s">
        <v>53</v>
      </c>
      <c r="BH45" s="3" t="s">
        <v>216</v>
      </c>
      <c r="BI45" s="3" t="s">
        <v>53</v>
      </c>
      <c r="BJ45" s="3" t="s">
        <v>376</v>
      </c>
      <c r="BK45" s="3" t="s">
        <v>53</v>
      </c>
      <c r="BL45" s="3" t="s">
        <v>343</v>
      </c>
      <c r="BM45" s="3" t="s">
        <v>53</v>
      </c>
      <c r="BN45" s="3" t="s">
        <v>212</v>
      </c>
      <c r="BO45" s="3" t="s">
        <v>53</v>
      </c>
      <c r="BP45" s="3" t="s">
        <v>1150</v>
      </c>
      <c r="BQ45" s="3" t="s">
        <v>53</v>
      </c>
      <c r="BR45" s="3" t="s">
        <v>628</v>
      </c>
      <c r="BS45" s="3" t="s">
        <v>53</v>
      </c>
      <c r="BT45" s="3" t="s">
        <v>300</v>
      </c>
      <c r="BU45" s="3" t="s">
        <v>53</v>
      </c>
      <c r="BV45" s="3" t="s">
        <v>805</v>
      </c>
      <c r="BW45" s="3" t="s">
        <v>53</v>
      </c>
      <c r="BX45" s="3" t="s">
        <v>602</v>
      </c>
      <c r="BY45" s="3" t="s">
        <v>53</v>
      </c>
      <c r="BZ45" s="3" t="s">
        <v>1151</v>
      </c>
      <c r="CA45" s="3" t="s">
        <v>53</v>
      </c>
      <c r="CB45" s="3" t="s">
        <v>1127</v>
      </c>
      <c r="CC45" s="3" t="s">
        <v>53</v>
      </c>
      <c r="CD45" s="3" t="s">
        <v>516</v>
      </c>
      <c r="CE45" s="3" t="s">
        <v>53</v>
      </c>
      <c r="CF45" s="3" t="s">
        <v>346</v>
      </c>
      <c r="CG45" s="3" t="s">
        <v>53</v>
      </c>
      <c r="CH45" s="3" t="s">
        <v>275</v>
      </c>
    </row>
    <row r="46" spans="1:86" x14ac:dyDescent="0.55000000000000004">
      <c r="A46" s="3" t="s">
        <v>572</v>
      </c>
      <c r="B46" s="3" t="s">
        <v>573</v>
      </c>
      <c r="C46" s="3" t="s">
        <v>51</v>
      </c>
      <c r="D46" s="3" t="s">
        <v>52</v>
      </c>
      <c r="E46" s="3" t="s">
        <v>54</v>
      </c>
      <c r="F46" s="3" t="s">
        <v>726</v>
      </c>
      <c r="G46" s="3" t="s">
        <v>50</v>
      </c>
      <c r="H46" s="3" t="s">
        <v>55</v>
      </c>
      <c r="I46" s="3" t="s">
        <v>56</v>
      </c>
      <c r="J46" s="3" t="s">
        <v>57</v>
      </c>
      <c r="K46" s="3" t="s">
        <v>74</v>
      </c>
      <c r="L46" s="3" t="s">
        <v>52</v>
      </c>
      <c r="M46" s="3" t="s">
        <v>51</v>
      </c>
      <c r="N46" s="3" t="s">
        <v>72</v>
      </c>
      <c r="O46" s="3" t="s">
        <v>53</v>
      </c>
      <c r="P46" s="3" t="s">
        <v>704</v>
      </c>
      <c r="Q46" s="3" t="s">
        <v>53</v>
      </c>
      <c r="R46" s="3" t="s">
        <v>202</v>
      </c>
      <c r="S46" s="3" t="s">
        <v>53</v>
      </c>
      <c r="T46" s="3" t="s">
        <v>203</v>
      </c>
      <c r="U46" s="3" t="s">
        <v>53</v>
      </c>
      <c r="V46" s="3" t="s">
        <v>337</v>
      </c>
      <c r="W46" s="3" t="s">
        <v>53</v>
      </c>
      <c r="X46" s="3" t="s">
        <v>367</v>
      </c>
      <c r="Y46" s="3" t="s">
        <v>53</v>
      </c>
      <c r="Z46" s="3" t="s">
        <v>361</v>
      </c>
      <c r="AA46" s="3" t="s">
        <v>53</v>
      </c>
      <c r="AB46" s="3" t="s">
        <v>1058</v>
      </c>
      <c r="AC46" s="3" t="s">
        <v>53</v>
      </c>
      <c r="AD46" s="3" t="s">
        <v>1152</v>
      </c>
      <c r="AE46" s="3" t="s">
        <v>53</v>
      </c>
      <c r="AF46" s="3" t="s">
        <v>705</v>
      </c>
      <c r="AG46" s="3" t="s">
        <v>53</v>
      </c>
      <c r="AH46" s="3" t="s">
        <v>1153</v>
      </c>
      <c r="AI46" s="3" t="s">
        <v>53</v>
      </c>
      <c r="AJ46" s="3" t="s">
        <v>1154</v>
      </c>
      <c r="AK46" s="3" t="s">
        <v>53</v>
      </c>
      <c r="AL46" s="3" t="s">
        <v>1155</v>
      </c>
      <c r="AM46" s="3" t="s">
        <v>53</v>
      </c>
      <c r="AN46" s="3" t="s">
        <v>1156</v>
      </c>
      <c r="AO46" s="3" t="s">
        <v>53</v>
      </c>
      <c r="AP46" s="3" t="s">
        <v>240</v>
      </c>
      <c r="AQ46" s="3" t="s">
        <v>53</v>
      </c>
      <c r="AR46" s="3" t="s">
        <v>527</v>
      </c>
      <c r="AS46" s="3" t="s">
        <v>53</v>
      </c>
      <c r="AT46" s="3" t="s">
        <v>206</v>
      </c>
      <c r="AU46" s="3" t="s">
        <v>53</v>
      </c>
      <c r="AV46" s="3" t="s">
        <v>1157</v>
      </c>
      <c r="AW46" s="3" t="s">
        <v>53</v>
      </c>
      <c r="AX46" s="3" t="s">
        <v>559</v>
      </c>
      <c r="AY46" s="3" t="s">
        <v>53</v>
      </c>
      <c r="AZ46" s="3" t="s">
        <v>1158</v>
      </c>
      <c r="BA46" s="3" t="s">
        <v>53</v>
      </c>
      <c r="BB46" s="3" t="s">
        <v>208</v>
      </c>
      <c r="BC46" s="3" t="s">
        <v>53</v>
      </c>
      <c r="BD46" s="3" t="s">
        <v>227</v>
      </c>
      <c r="BE46" s="3" t="s">
        <v>53</v>
      </c>
      <c r="BF46" s="3" t="s">
        <v>253</v>
      </c>
      <c r="BG46" s="3" t="s">
        <v>53</v>
      </c>
      <c r="BH46" s="3" t="s">
        <v>227</v>
      </c>
      <c r="BI46" s="3" t="s">
        <v>53</v>
      </c>
      <c r="BJ46" s="3" t="s">
        <v>633</v>
      </c>
      <c r="BK46" s="3" t="s">
        <v>53</v>
      </c>
      <c r="BL46" s="3" t="s">
        <v>293</v>
      </c>
      <c r="BM46" s="3" t="s">
        <v>53</v>
      </c>
      <c r="BN46" s="3" t="s">
        <v>219</v>
      </c>
      <c r="BO46" s="3" t="s">
        <v>53</v>
      </c>
      <c r="BP46" s="3" t="s">
        <v>707</v>
      </c>
      <c r="BQ46" s="3" t="s">
        <v>53</v>
      </c>
      <c r="BR46" s="3" t="s">
        <v>1159</v>
      </c>
      <c r="BS46" s="3" t="s">
        <v>53</v>
      </c>
      <c r="BT46" s="3" t="s">
        <v>342</v>
      </c>
      <c r="BU46" s="3" t="s">
        <v>53</v>
      </c>
      <c r="BV46" s="3" t="s">
        <v>1160</v>
      </c>
      <c r="BW46" s="3" t="s">
        <v>53</v>
      </c>
      <c r="BX46" s="3" t="s">
        <v>246</v>
      </c>
      <c r="BY46" s="3" t="s">
        <v>53</v>
      </c>
      <c r="BZ46" s="3" t="s">
        <v>529</v>
      </c>
      <c r="CA46" s="3" t="s">
        <v>53</v>
      </c>
      <c r="CB46" s="3" t="s">
        <v>792</v>
      </c>
      <c r="CC46" s="3" t="s">
        <v>53</v>
      </c>
      <c r="CD46" s="3" t="s">
        <v>328</v>
      </c>
      <c r="CE46" s="3" t="s">
        <v>53</v>
      </c>
      <c r="CF46" s="3" t="s">
        <v>407</v>
      </c>
      <c r="CG46" s="3" t="s">
        <v>53</v>
      </c>
      <c r="CH46" s="3" t="s">
        <v>375</v>
      </c>
    </row>
    <row r="47" spans="1:86" x14ac:dyDescent="0.55000000000000004">
      <c r="A47" s="3" t="s">
        <v>589</v>
      </c>
      <c r="B47" s="3" t="s">
        <v>590</v>
      </c>
      <c r="C47" s="3" t="s">
        <v>379</v>
      </c>
      <c r="D47" s="3" t="s">
        <v>65</v>
      </c>
      <c r="E47" s="3" t="s">
        <v>344</v>
      </c>
      <c r="F47" s="3" t="s">
        <v>726</v>
      </c>
      <c r="G47" s="3" t="s">
        <v>50</v>
      </c>
      <c r="H47" s="3" t="s">
        <v>55</v>
      </c>
      <c r="I47" s="3" t="s">
        <v>56</v>
      </c>
      <c r="J47" s="3" t="s">
        <v>60</v>
      </c>
      <c r="K47" s="3" t="s">
        <v>58</v>
      </c>
      <c r="L47" s="3" t="s">
        <v>65</v>
      </c>
      <c r="M47" s="3" t="s">
        <v>379</v>
      </c>
      <c r="N47" s="3" t="s">
        <v>67</v>
      </c>
      <c r="O47" s="3" t="s">
        <v>53</v>
      </c>
      <c r="P47" s="3" t="s">
        <v>237</v>
      </c>
      <c r="Q47" s="3" t="s">
        <v>53</v>
      </c>
      <c r="R47" s="3" t="s">
        <v>238</v>
      </c>
      <c r="S47" s="3" t="s">
        <v>53</v>
      </c>
      <c r="T47" s="3" t="s">
        <v>214</v>
      </c>
      <c r="U47" s="3" t="s">
        <v>53</v>
      </c>
      <c r="V47" s="3" t="s">
        <v>200</v>
      </c>
      <c r="W47" s="3" t="s">
        <v>53</v>
      </c>
      <c r="X47" s="3" t="s">
        <v>521</v>
      </c>
      <c r="Y47" s="3" t="s">
        <v>53</v>
      </c>
      <c r="Z47" s="3" t="s">
        <v>423</v>
      </c>
      <c r="AA47" s="3" t="s">
        <v>53</v>
      </c>
      <c r="AB47" s="3" t="s">
        <v>415</v>
      </c>
      <c r="AC47" s="3" t="s">
        <v>53</v>
      </c>
      <c r="AD47" s="3" t="s">
        <v>213</v>
      </c>
      <c r="AE47" s="3" t="s">
        <v>53</v>
      </c>
      <c r="AF47" s="3" t="s">
        <v>1161</v>
      </c>
      <c r="AG47" s="3" t="s">
        <v>53</v>
      </c>
      <c r="AH47" s="3" t="s">
        <v>1162</v>
      </c>
      <c r="AI47" s="3" t="s">
        <v>53</v>
      </c>
      <c r="AJ47" s="3" t="s">
        <v>1163</v>
      </c>
      <c r="AK47" s="3" t="s">
        <v>53</v>
      </c>
      <c r="AL47" s="3" t="s">
        <v>1164</v>
      </c>
      <c r="AM47" s="3" t="s">
        <v>53</v>
      </c>
      <c r="AN47" s="3" t="s">
        <v>599</v>
      </c>
      <c r="AO47" s="3" t="s">
        <v>53</v>
      </c>
      <c r="AP47" s="3" t="s">
        <v>206</v>
      </c>
      <c r="AQ47" s="3" t="s">
        <v>53</v>
      </c>
      <c r="AR47" s="3" t="s">
        <v>1165</v>
      </c>
      <c r="AS47" s="3" t="s">
        <v>53</v>
      </c>
      <c r="AT47" s="3" t="s">
        <v>317</v>
      </c>
      <c r="AU47" s="3" t="s">
        <v>53</v>
      </c>
      <c r="AV47" s="3" t="s">
        <v>1076</v>
      </c>
      <c r="AW47" s="3" t="s">
        <v>53</v>
      </c>
      <c r="AX47" s="3" t="s">
        <v>226</v>
      </c>
      <c r="AY47" s="3" t="s">
        <v>53</v>
      </c>
      <c r="AZ47" s="3" t="s">
        <v>698</v>
      </c>
      <c r="BA47" s="3" t="s">
        <v>53</v>
      </c>
      <c r="BB47" s="3" t="s">
        <v>208</v>
      </c>
      <c r="BC47" s="3" t="s">
        <v>53</v>
      </c>
      <c r="BD47" s="3" t="s">
        <v>227</v>
      </c>
      <c r="BE47" s="3" t="s">
        <v>53</v>
      </c>
      <c r="BF47" s="3" t="s">
        <v>216</v>
      </c>
      <c r="BG47" s="3" t="s">
        <v>53</v>
      </c>
      <c r="BH47" s="3" t="s">
        <v>209</v>
      </c>
      <c r="BI47" s="3" t="s">
        <v>53</v>
      </c>
      <c r="BJ47" s="3" t="s">
        <v>243</v>
      </c>
      <c r="BK47" s="3" t="s">
        <v>53</v>
      </c>
      <c r="BL47" s="3" t="s">
        <v>244</v>
      </c>
      <c r="BM47" s="3" t="s">
        <v>53</v>
      </c>
      <c r="BN47" s="3" t="s">
        <v>247</v>
      </c>
      <c r="BO47" s="3" t="s">
        <v>53</v>
      </c>
      <c r="BP47" s="3" t="s">
        <v>1166</v>
      </c>
      <c r="BQ47" s="3" t="s">
        <v>53</v>
      </c>
      <c r="BR47" s="3" t="s">
        <v>750</v>
      </c>
      <c r="BS47" s="3" t="s">
        <v>53</v>
      </c>
      <c r="BT47" s="3" t="s">
        <v>391</v>
      </c>
      <c r="BU47" s="3" t="s">
        <v>53</v>
      </c>
      <c r="BV47" s="3" t="s">
        <v>799</v>
      </c>
      <c r="BW47" s="3" t="s">
        <v>53</v>
      </c>
      <c r="BX47" s="3" t="s">
        <v>614</v>
      </c>
      <c r="BY47" s="3" t="s">
        <v>53</v>
      </c>
      <c r="BZ47" s="3" t="s">
        <v>649</v>
      </c>
      <c r="CA47" s="3" t="s">
        <v>53</v>
      </c>
      <c r="CB47" s="3" t="s">
        <v>1167</v>
      </c>
      <c r="CC47" s="3" t="s">
        <v>53</v>
      </c>
      <c r="CD47" s="3" t="s">
        <v>717</v>
      </c>
      <c r="CE47" s="3" t="s">
        <v>53</v>
      </c>
      <c r="CF47" s="3" t="s">
        <v>709</v>
      </c>
      <c r="CG47" s="3" t="s">
        <v>53</v>
      </c>
      <c r="CH47" s="3" t="s">
        <v>212</v>
      </c>
    </row>
  </sheetData>
  <mergeCells count="36">
    <mergeCell ref="CC1:CD1"/>
    <mergeCell ref="CE1:CF1"/>
    <mergeCell ref="CG1:CH1"/>
    <mergeCell ref="BS1:BT1"/>
    <mergeCell ref="BU1:BV1"/>
    <mergeCell ref="BW1:BX1"/>
    <mergeCell ref="BY1:BZ1"/>
    <mergeCell ref="CA1:CB1"/>
    <mergeCell ref="BI1:BJ1"/>
    <mergeCell ref="BK1:BL1"/>
    <mergeCell ref="BM1:BN1"/>
    <mergeCell ref="BO1:BP1"/>
    <mergeCell ref="BQ1:BR1"/>
    <mergeCell ref="AY1:AZ1"/>
    <mergeCell ref="BA1:BB1"/>
    <mergeCell ref="BC1:BD1"/>
    <mergeCell ref="BE1:BF1"/>
    <mergeCell ref="BG1:BH1"/>
    <mergeCell ref="AO1:AP1"/>
    <mergeCell ref="AQ1:AR1"/>
    <mergeCell ref="AS1:AT1"/>
    <mergeCell ref="AU1:AV1"/>
    <mergeCell ref="AW1:AX1"/>
    <mergeCell ref="AE1:AF1"/>
    <mergeCell ref="AG1:AH1"/>
    <mergeCell ref="AI1:AJ1"/>
    <mergeCell ref="AK1:AL1"/>
    <mergeCell ref="AM1:AN1"/>
    <mergeCell ref="U1:V1"/>
    <mergeCell ref="W1:X1"/>
    <mergeCell ref="Y1:Z1"/>
    <mergeCell ref="AA1:AB1"/>
    <mergeCell ref="AC1:AD1"/>
    <mergeCell ref="O1:P1"/>
    <mergeCell ref="Q1:R1"/>
    <mergeCell ref="S1:T1"/>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utput_Data_By_FixedFiscalRow">
                <anchor moveWithCells="1" sizeWithCells="1">
                  <from>
                    <xdr:col>4</xdr:col>
                    <xdr:colOff>88900</xdr:colOff>
                    <xdr:row>3</xdr:row>
                    <xdr:rowOff>50800</xdr:rowOff>
                  </from>
                  <to>
                    <xdr:col>6</xdr:col>
                    <xdr:colOff>336550</xdr:colOff>
                    <xdr:row>6</xdr:row>
                    <xdr:rowOff>146050</xdr:rowOff>
                  </to>
                </anchor>
              </controlPr>
            </control>
          </mc:Choice>
        </mc:AlternateContent>
        <mc:AlternateContent xmlns:mc="http://schemas.openxmlformats.org/markup-compatibility/2006">
          <mc:Choice Requires="x14">
            <control shapeId="4098" r:id="rId5" name="Button 2">
              <controlPr defaultSize="0" print="0" autoFill="0" autoPict="0" macro="[0]!ExportPDF_Resultsheet_ByList_Exclude_Unique_OneDriveSafe">
                <anchor moveWithCells="1" sizeWithCells="1">
                  <from>
                    <xdr:col>6</xdr:col>
                    <xdr:colOff>787400</xdr:colOff>
                    <xdr:row>3</xdr:row>
                    <xdr:rowOff>31750</xdr:rowOff>
                  </from>
                  <to>
                    <xdr:col>12</xdr:col>
                    <xdr:colOff>254000</xdr:colOff>
                    <xdr:row>6</xdr:row>
                    <xdr:rowOff>203200</xdr:rowOff>
                  </to>
                </anchor>
              </controlPr>
            </control>
          </mc:Choice>
        </mc:AlternateContent>
        <mc:AlternateContent xmlns:mc="http://schemas.openxmlformats.org/markup-compatibility/2006">
          <mc:Choice Requires="x14">
            <control shapeId="4099" r:id="rId6" name="Button 3">
              <controlPr defaultSize="0" print="0" autoFill="0" autoPict="0" macro="[1]!Output_Data_By_FixedFiscalRow">
                <anchor moveWithCells="1" sizeWithCells="1">
                  <from>
                    <xdr:col>4</xdr:col>
                    <xdr:colOff>88900</xdr:colOff>
                    <xdr:row>3</xdr:row>
                    <xdr:rowOff>50800</xdr:rowOff>
                  </from>
                  <to>
                    <xdr:col>7</xdr:col>
                    <xdr:colOff>336550</xdr:colOff>
                    <xdr:row>6</xdr:row>
                    <xdr:rowOff>146050</xdr:rowOff>
                  </to>
                </anchor>
              </controlPr>
            </control>
          </mc:Choice>
        </mc:AlternateContent>
        <mc:AlternateContent xmlns:mc="http://schemas.openxmlformats.org/markup-compatibility/2006">
          <mc:Choice Requires="x14">
            <control shapeId="4100" r:id="rId7" name="Button 4">
              <controlPr defaultSize="0" print="0" autoFill="0" autoPict="0" macro="[1]!ExportPDF_Resultsheet_ByList_Exclude_Unique_OneDriveSafe">
                <anchor moveWithCells="1" sizeWithCells="1">
                  <from>
                    <xdr:col>7</xdr:col>
                    <xdr:colOff>787400</xdr:colOff>
                    <xdr:row>3</xdr:row>
                    <xdr:rowOff>31750</xdr:rowOff>
                  </from>
                  <to>
                    <xdr:col>13</xdr:col>
                    <xdr:colOff>254000</xdr:colOff>
                    <xdr:row>6</xdr:row>
                    <xdr:rowOff>203200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375CE-E6D7-4B4B-A934-6F64E6F6AD8A}">
  <sheetPr codeName="Sheet71"/>
  <dimension ref="A1"/>
  <sheetViews>
    <sheetView workbookViewId="0"/>
  </sheetViews>
  <sheetFormatPr defaultRowHeight="18" x14ac:dyDescent="0.55000000000000004"/>
  <sheetData/>
  <phoneticPr fontId="2"/>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D425-5E22-49A1-9167-53172EEB853C}">
  <sheetPr codeName="Sheet2">
    <tabColor rgb="FFFFFF00"/>
  </sheetPr>
  <dimension ref="A1:AB55"/>
  <sheetViews>
    <sheetView view="pageLayout" zoomScale="80" zoomScaleNormal="100" zoomScaleSheetLayoutView="100" zoomScalePageLayoutView="80" workbookViewId="0">
      <selection activeCell="A3" sqref="A3"/>
    </sheetView>
  </sheetViews>
  <sheetFormatPr defaultRowHeight="18" x14ac:dyDescent="0.55000000000000004"/>
  <cols>
    <col min="1" max="1" width="22.5" bestFit="1" customWidth="1"/>
    <col min="2" max="2" width="8.9140625" customWidth="1"/>
    <col min="5" max="8" width="4.1640625" customWidth="1"/>
    <col min="9" max="9" width="4.08203125" customWidth="1"/>
    <col min="10" max="14" width="4.1640625" customWidth="1"/>
  </cols>
  <sheetData>
    <row r="1" spans="1:16" ht="15" customHeight="1" thickBot="1" x14ac:dyDescent="0.6">
      <c r="B1" s="45"/>
    </row>
    <row r="2" spans="1:16" ht="27" customHeight="1" x14ac:dyDescent="0.55000000000000004">
      <c r="A2" s="156">
        <v>2026</v>
      </c>
      <c r="B2" s="174">
        <f>(A2-2025)*12</f>
        <v>12</v>
      </c>
    </row>
    <row r="3" spans="1:16" ht="27" thickBot="1" x14ac:dyDescent="0.6">
      <c r="A3" s="157">
        <v>2</v>
      </c>
      <c r="B3" s="81" t="e" cm="1">
        <f t="array" aca="1" ref="B3" ca="1">(--LEFT(INDIRECT($A$6&amp;"!"&amp;D4&amp;A3+B2),LEN(INDIRECT($A$6&amp;"!"&amp;D4&amp;A3+B2))-1))</f>
        <v>#REF!</v>
      </c>
    </row>
    <row r="4" spans="1:16" ht="18.5" thickBot="1" x14ac:dyDescent="0.6">
      <c r="B4" s="81" t="e" cm="1">
        <f t="array" aca="1" ref="B4" ca="1">(--LEFT(INDIRECT($A$6&amp;"!"&amp;D4&amp;A3+B2),LEN(INDIRECT($A$6&amp;"!"&amp;D4&amp;A3+B2))-1))</f>
        <v>#REF!</v>
      </c>
      <c r="C4" s="159" t="s">
        <v>111</v>
      </c>
      <c r="D4" s="159" t="s">
        <v>134</v>
      </c>
      <c r="E4" s="217" t="s">
        <v>135</v>
      </c>
      <c r="F4" s="217"/>
    </row>
    <row r="5" spans="1:16" ht="18" customHeight="1" x14ac:dyDescent="0.55000000000000004">
      <c r="A5" s="114"/>
      <c r="B5" s="180" t="str" cm="1">
        <f t="array" aca="1" ref="B5" ca="1">IFERROR(INDIRECT($A$6&amp;"!"&amp;$C4&amp;($A$3+(($A$2-2025)*12))),"")</f>
        <v/>
      </c>
      <c r="C5" s="181"/>
      <c r="D5" s="182" t="s">
        <v>115</v>
      </c>
      <c r="E5" s="183"/>
      <c r="F5" s="184"/>
      <c r="G5" s="115"/>
      <c r="H5" s="115"/>
      <c r="K5" s="185" t="s">
        <v>136</v>
      </c>
      <c r="L5" s="186"/>
      <c r="M5" s="191">
        <f ca="1">IFERROR(SUM(C19:C21,C28:C32,C40:C44),"")</f>
        <v>0</v>
      </c>
      <c r="N5" s="192"/>
    </row>
    <row r="6" spans="1:16" ht="18" customHeight="1" x14ac:dyDescent="0.55000000000000004">
      <c r="A6" s="197" t="s">
        <v>511</v>
      </c>
      <c r="B6" s="198"/>
      <c r="C6" s="199"/>
      <c r="D6" s="203" t="str" cm="1">
        <f t="array" aca="1" ref="D6" ca="1">IF(IFERROR(INDIRECT($A$6&amp;"!"&amp;E$4&amp;($A$3+((A2-2025)*12))),"")="男性","男子","女子")</f>
        <v>女子</v>
      </c>
      <c r="E6" s="204"/>
      <c r="F6" s="205"/>
      <c r="H6" s="115"/>
      <c r="K6" s="187"/>
      <c r="L6" s="188"/>
      <c r="M6" s="193"/>
      <c r="N6" s="194"/>
    </row>
    <row r="7" spans="1:16" ht="18" customHeight="1" thickBot="1" x14ac:dyDescent="0.6">
      <c r="A7" s="200"/>
      <c r="B7" s="201"/>
      <c r="C7" s="202"/>
      <c r="D7" s="206"/>
      <c r="E7" s="207"/>
      <c r="F7" s="208"/>
      <c r="K7" s="189"/>
      <c r="L7" s="190"/>
      <c r="M7" s="195"/>
      <c r="N7" s="196"/>
    </row>
    <row r="8" spans="1:16" ht="18.5" thickBot="1" x14ac:dyDescent="0.6">
      <c r="D8" s="44" t="s">
        <v>88</v>
      </c>
      <c r="N8" s="116"/>
    </row>
    <row r="9" spans="1:16" ht="18.5" thickBot="1" x14ac:dyDescent="0.6">
      <c r="A9" s="49" t="s">
        <v>137</v>
      </c>
      <c r="D9" s="218" t="s">
        <v>138</v>
      </c>
      <c r="E9" s="219"/>
      <c r="F9" s="48"/>
    </row>
    <row r="10" spans="1:16" ht="18.5" thickBot="1" x14ac:dyDescent="0.6">
      <c r="A10" s="49" t="s">
        <v>139</v>
      </c>
      <c r="B10" s="50" t="s">
        <v>140</v>
      </c>
      <c r="C10" s="51" t="s">
        <v>141</v>
      </c>
      <c r="D10" s="52" t="s">
        <v>142</v>
      </c>
      <c r="E10" s="218" t="s">
        <v>143</v>
      </c>
      <c r="F10" s="220"/>
      <c r="G10" s="221" t="s">
        <v>144</v>
      </c>
      <c r="H10" s="219"/>
      <c r="I10" s="115"/>
      <c r="J10" s="115"/>
      <c r="K10" s="115"/>
      <c r="L10" s="115"/>
    </row>
    <row r="11" spans="1:16" x14ac:dyDescent="0.55000000000000004">
      <c r="A11" s="117" t="s">
        <v>124</v>
      </c>
      <c r="B11" s="53" t="str" cm="1">
        <f t="array" aca="1" ref="B11" ca="1">IFERROR(INDIRECT($A$6&amp;"!"&amp;$I11&amp;($A$3+(($A$2-2025)*12))),"")</f>
        <v/>
      </c>
      <c r="C11" s="54" t="s">
        <v>131</v>
      </c>
      <c r="D11" s="118" t="str" cm="1">
        <f t="array" aca="1" ref="D11" ca="1">IFERROR(INDIRECT($A$6&amp;"!"&amp;$K11&amp;($A$3+(($A$2-2025)*12))),"")</f>
        <v/>
      </c>
      <c r="E11" s="224" t="str" cm="1">
        <f t="array" aca="1" ref="E11" ca="1">IFERROR(INDIRECT($A$6&amp;"!"&amp;$J11&amp;($A$3+(($A$2-2025)*12))),"")</f>
        <v/>
      </c>
      <c r="F11" s="225"/>
      <c r="G11" s="222" t="str" cm="1">
        <f t="array" aca="1" ref="G11" ca="1">IFERROR(INDIRECT($A$6&amp;"!"&amp;$J11&amp;(($A$3+(($A$2-2025)*12))-1)),"")</f>
        <v/>
      </c>
      <c r="H11" s="223"/>
      <c r="I11" s="158" t="s">
        <v>98</v>
      </c>
      <c r="J11" s="158" t="s">
        <v>104</v>
      </c>
      <c r="K11" s="158" t="s">
        <v>108</v>
      </c>
      <c r="L11" s="115"/>
    </row>
    <row r="12" spans="1:16" ht="17.5" customHeight="1" x14ac:dyDescent="0.55000000000000004">
      <c r="A12" s="56" t="s">
        <v>125</v>
      </c>
      <c r="B12" s="119" t="str" cm="1">
        <f t="array" aca="1" ref="B12" ca="1">IFERROR(INDIRECT($A$6&amp;"!"&amp;$I12&amp;($A$3+(($A$2-2025)*12))),"")</f>
        <v/>
      </c>
      <c r="C12" s="120" t="s">
        <v>131</v>
      </c>
      <c r="D12" s="121" t="str" cm="1">
        <f t="array" aca="1" ref="D12" ca="1">IFERROR(INDIRECT($A$6&amp;"!"&amp;$K12&amp;($A$3+(($A$2-2025)*12))),"")</f>
        <v/>
      </c>
      <c r="E12" s="209" t="str" cm="1">
        <f t="array" aca="1" ref="E12" ca="1">IFERROR(INDIRECT($A$6&amp;"!"&amp;$J12&amp;($A$3+(($A$2-2025)*12))),"")</f>
        <v/>
      </c>
      <c r="F12" s="210"/>
      <c r="G12" s="211" t="str" cm="1">
        <f t="array" aca="1" ref="G12" ca="1">IFERROR(INDIRECT($A$6&amp;"!"&amp;$J12&amp;(($A$3+(($A$2-2025)*12))-1)),"")</f>
        <v/>
      </c>
      <c r="H12" s="212"/>
      <c r="I12" s="158" t="s">
        <v>99</v>
      </c>
      <c r="J12" s="158" t="s">
        <v>105</v>
      </c>
      <c r="K12" s="158" t="s">
        <v>109</v>
      </c>
      <c r="L12" s="115"/>
    </row>
    <row r="13" spans="1:16" ht="18.5" customHeight="1" x14ac:dyDescent="0.55000000000000004">
      <c r="A13" s="122" t="s">
        <v>131</v>
      </c>
      <c r="B13" s="60" t="s">
        <v>131</v>
      </c>
      <c r="C13" s="123" t="s">
        <v>131</v>
      </c>
      <c r="D13" s="121" t="str" cm="1">
        <f t="array" aca="1" ref="D13" ca="1">IFERROR(INDIRECT($A$6&amp;"!"&amp;$K13&amp;($A$3+(($A$2-2025)*12))),"")</f>
        <v/>
      </c>
      <c r="E13" s="209" t="str" cm="1">
        <f t="array" aca="1" ref="E13" ca="1">IFERROR(INDIRECT($A$6&amp;"!"&amp;$J13&amp;($A$3+(($A$2-2025)*12))),"")</f>
        <v/>
      </c>
      <c r="F13" s="210"/>
      <c r="G13" s="211" t="str" cm="1">
        <f t="array" aca="1" ref="G13" ca="1">IFERROR(INDIRECT($A$6&amp;"!"&amp;$J13&amp;(($A$3+(($A$2-2025)*12))-1)),"")</f>
        <v/>
      </c>
      <c r="H13" s="212"/>
      <c r="I13" s="158"/>
      <c r="J13" s="158" t="s">
        <v>106</v>
      </c>
      <c r="K13" s="158" t="s">
        <v>110</v>
      </c>
      <c r="L13" s="115"/>
    </row>
    <row r="14" spans="1:16" ht="18" customHeight="1" thickBot="1" x14ac:dyDescent="0.6">
      <c r="A14" s="124" t="s">
        <v>131</v>
      </c>
      <c r="B14" s="125" t="s">
        <v>131</v>
      </c>
      <c r="C14" s="126" t="s">
        <v>131</v>
      </c>
      <c r="D14" s="127" t="str" cm="1">
        <f t="array" aca="1" ref="D14" ca="1">IFERROR(INDIRECT($A$6&amp;"!"&amp;$K14&amp;($A$3+(($A$2-2025)*12))),"")</f>
        <v/>
      </c>
      <c r="E14" s="213" t="str" cm="1">
        <f t="array" aca="1" ref="E14" ca="1">IFERROR(INDIRECT($A$6&amp;"!"&amp;J14&amp;($A$3+(($A$2-2025)*12))),"")</f>
        <v/>
      </c>
      <c r="F14" s="214"/>
      <c r="G14" s="215" t="str" cm="1">
        <f t="array" aca="1" ref="G14" ca="1">IFERROR(INDIRECT($A$6&amp;"!"&amp;J14&amp;(($A$3+(($A$2-2025)*12))-1)),"")</f>
        <v/>
      </c>
      <c r="H14" s="216"/>
      <c r="I14" s="158"/>
      <c r="J14" s="158" t="s">
        <v>107</v>
      </c>
      <c r="K14" s="158" t="s">
        <v>197</v>
      </c>
      <c r="L14" s="115"/>
      <c r="O14" s="47"/>
      <c r="P14" s="47"/>
    </row>
    <row r="15" spans="1:16" ht="18" customHeight="1" x14ac:dyDescent="0.55000000000000004">
      <c r="I15" s="158"/>
      <c r="J15" s="158"/>
      <c r="K15" s="158"/>
      <c r="L15" s="115"/>
      <c r="O15" s="47"/>
      <c r="P15" s="47"/>
    </row>
    <row r="16" spans="1:16" ht="18" customHeight="1" thickBot="1" x14ac:dyDescent="0.6">
      <c r="I16" s="47"/>
      <c r="J16" s="47"/>
      <c r="K16" s="47"/>
      <c r="O16" s="47"/>
      <c r="P16" s="47"/>
    </row>
    <row r="17" spans="1:17" ht="18" customHeight="1" thickBot="1" x14ac:dyDescent="0.6">
      <c r="A17" s="160" t="s">
        <v>145</v>
      </c>
      <c r="B17" s="63" t="s">
        <v>146</v>
      </c>
      <c r="O17" s="47"/>
      <c r="P17" s="47"/>
    </row>
    <row r="18" spans="1:17" ht="18" customHeight="1" thickBot="1" x14ac:dyDescent="0.6">
      <c r="A18" s="64" t="s">
        <v>139</v>
      </c>
      <c r="B18" s="65" t="s">
        <v>140</v>
      </c>
      <c r="C18" s="66" t="s">
        <v>130</v>
      </c>
      <c r="D18" s="67" t="s">
        <v>147</v>
      </c>
      <c r="E18" s="253" t="s">
        <v>148</v>
      </c>
      <c r="F18" s="254"/>
      <c r="G18" s="255" t="s">
        <v>149</v>
      </c>
      <c r="H18" s="254"/>
      <c r="I18" s="255" t="s">
        <v>150</v>
      </c>
      <c r="J18" s="254"/>
      <c r="K18" s="255" t="s">
        <v>151</v>
      </c>
      <c r="L18" s="254"/>
      <c r="M18" s="255" t="s">
        <v>152</v>
      </c>
      <c r="N18" s="256"/>
      <c r="O18" s="47"/>
      <c r="P18" s="47"/>
    </row>
    <row r="19" spans="1:17" ht="18" customHeight="1" x14ac:dyDescent="0.55000000000000004">
      <c r="A19" s="114" t="s">
        <v>153</v>
      </c>
      <c r="B19" s="128" t="str" cm="1">
        <f t="array" aca="1" ref="B19" ca="1">IFERROR(INDIRECT($A$6&amp;"!"&amp;$O19&amp;($A$3+(($A$2-2025)*12))),"")</f>
        <v/>
      </c>
      <c r="C19" s="55" t="str" cm="1">
        <f t="array" aca="1" ref="C19" ca="1">IFERROR(IF(B19&lt;INDIRECT($D$6&amp;"!"&amp;"D"&amp;($P19+(($B$4-6)*9))),1,IF(B19&lt;INDIRECT($D$6&amp;"!"&amp;"E"&amp;($P19+(($B$4-6)*9))),2,IF(B19&lt;INDIRECT($D$6&amp;"!"&amp;"F"&amp;($P19+(($B$4-6)*9))),3,IF(B19&lt;INDIRECT($D$6&amp;"!"&amp;"G"&amp;($P19+(($B$4-6)*9))),4,IF(B19&lt;INDIRECT($D$6&amp;"!"&amp;"H"&amp;($P19+(($B$4-6)*9))),5,IF(B19&lt;INDIRECT($D$6&amp;"!"&amp;"I"&amp;($P19+(($B$4-6)*9))),6,IF(B19&lt;INDIRECT($D$6&amp;"!"&amp;"J"&amp;($P19+(($B$4-6)*9))),7,IF(B19&lt;INDIRECT($D$6&amp;"!"&amp;"K"&amp;($P19+(($B$4-6)*9))),8,IF(B19&lt;INDIRECT($D$6&amp;"!"&amp;"L"&amp;($P19+(($B$4-6)*9))),9,10))))))))),"")</f>
        <v/>
      </c>
      <c r="D19" s="54" t="e" cm="1">
        <f t="array" aca="1" ref="D19" ca="1">INDIRECT($D$6&amp;"!"&amp;$D$8&amp;(7+((B4-6)*9)))</f>
        <v>#REF!</v>
      </c>
      <c r="E19" s="129"/>
      <c r="F19" s="68"/>
      <c r="G19" s="68"/>
      <c r="H19" s="69"/>
      <c r="I19" s="68"/>
      <c r="J19" s="68"/>
      <c r="K19" s="70"/>
      <c r="L19" s="130"/>
      <c r="M19" s="131"/>
      <c r="N19" s="132"/>
      <c r="O19" s="47" t="s">
        <v>100</v>
      </c>
      <c r="P19" s="81">
        <v>7</v>
      </c>
    </row>
    <row r="20" spans="1:17" ht="18" customHeight="1" x14ac:dyDescent="0.55000000000000004">
      <c r="A20" s="133" t="s">
        <v>154</v>
      </c>
      <c r="B20" s="134" t="str" cm="1">
        <f t="array" aca="1" ref="B20" ca="1">IFERROR(INDIRECT($A$6&amp;"!"&amp;$O20&amp;($A$3+(($A$2-2025)*12))),"")</f>
        <v/>
      </c>
      <c r="C20" s="58" t="str" cm="1">
        <f t="array" aca="1" ref="C20" ca="1">IFERROR(IF(B20&lt;INDIRECT($D$6&amp;"!"&amp;"D"&amp;($P20+(($B$4-6)*9))),1,IF(B20&lt;INDIRECT($D$6&amp;"!"&amp;"E"&amp;($P20+(($B$4-6)*9))),2,IF(B20&lt;INDIRECT($D$6&amp;"!"&amp;"F"&amp;($P20+(($B$4-6)*9))),3,IF(B20&lt;INDIRECT($D$6&amp;"!"&amp;"G"&amp;($P20+(($B$4-6)*9))),4,IF(B20&lt;INDIRECT($D$6&amp;"!"&amp;"H"&amp;($P20+(($B$4-6)*9))),5,IF(B20&lt;INDIRECT($D$6&amp;"!"&amp;"I"&amp;($P20+(($B$4-6)*9))),6,IF(B20&lt;INDIRECT($D$6&amp;"!"&amp;"J"&amp;($P20+(($B$4-6)*9))),7,IF(B20&lt;INDIRECT($D$6&amp;"!"&amp;"K"&amp;($P20+(($B$4-6)*9))),8,IF(B20&lt;INDIRECT($D$6&amp;"!"&amp;"L"&amp;($P20+(($B$4-6)*9))),9,10))))))))),"")</f>
        <v/>
      </c>
      <c r="D20" s="59" t="e" cm="1">
        <f t="array" aca="1" ref="D20" ca="1">INDIRECT($D$6&amp;"!"&amp;$D$8&amp;(8+((B4-6)*9)))</f>
        <v>#REF!</v>
      </c>
      <c r="E20" s="129"/>
      <c r="F20" s="68"/>
      <c r="G20" s="68"/>
      <c r="H20" s="69"/>
      <c r="I20" s="68"/>
      <c r="J20" s="68"/>
      <c r="K20" s="68"/>
      <c r="L20" s="130"/>
      <c r="M20" s="131"/>
      <c r="N20" s="132"/>
      <c r="O20" s="47" t="s">
        <v>102</v>
      </c>
      <c r="P20" s="81">
        <v>8</v>
      </c>
    </row>
    <row r="21" spans="1:17" ht="18" customHeight="1" x14ac:dyDescent="0.55000000000000004">
      <c r="A21" s="133" t="s">
        <v>30</v>
      </c>
      <c r="B21" s="134" t="str" cm="1">
        <f t="array" aca="1" ref="B21" ca="1">IFERROR(INDIRECT($A$6&amp;"!"&amp;$O21&amp;($A$3+(($A$2-2025)*12))),"")</f>
        <v/>
      </c>
      <c r="C21" s="58" t="str" cm="1">
        <f t="array" aca="1" ref="C21" ca="1">IFERROR(IF(B21&lt;INDIRECT($D$6&amp;"!"&amp;"D"&amp;($P21+(($B$4-6)*9))),1,IF(B21&lt;INDIRECT($D$6&amp;"!"&amp;"E"&amp;($P21+(($B$4-6)*9))),2,IF(B21&lt;INDIRECT($D$6&amp;"!"&amp;"F"&amp;($P21+(($B$4-6)*9))),3,IF(B21&lt;INDIRECT($D$6&amp;"!"&amp;"G"&amp;($P21+(($B$4-6)*9))),4,IF(B21&lt;INDIRECT($D$6&amp;"!"&amp;"H"&amp;($P21+(($B$4-6)*9))),5,IF(B21&lt;INDIRECT($D$6&amp;"!"&amp;"I"&amp;($P21+(($B$4-6)*9))),6,IF(B21&lt;INDIRECT($D$6&amp;"!"&amp;"J"&amp;($P21+(($B$4-6)*9))),7,IF(B21&lt;INDIRECT($D$6&amp;"!"&amp;"K"&amp;($P21+(($B$4-6)*9))),8,IF(B21&lt;INDIRECT($D$6&amp;"!"&amp;"L"&amp;($P21+(($B$4-6)*9))),9,10))))))))),"")</f>
        <v/>
      </c>
      <c r="D21" s="59" t="e" cm="1">
        <f t="array" aca="1" ref="D21" ca="1">INDIRECT($D$6&amp;"!"&amp;$D$8&amp;(9+((B4-6)*9)))</f>
        <v>#REF!</v>
      </c>
      <c r="E21" s="129"/>
      <c r="F21" s="68"/>
      <c r="G21" s="68"/>
      <c r="H21" s="69"/>
      <c r="I21" s="68"/>
      <c r="J21" s="68"/>
      <c r="K21" s="68"/>
      <c r="L21" s="129"/>
      <c r="M21" s="131"/>
      <c r="N21" s="132"/>
      <c r="O21" s="47" t="s">
        <v>101</v>
      </c>
      <c r="P21" s="81">
        <v>9</v>
      </c>
    </row>
    <row r="22" spans="1:17" ht="18" customHeight="1" thickBot="1" x14ac:dyDescent="0.6">
      <c r="A22" s="135" t="s">
        <v>155</v>
      </c>
      <c r="B22" s="136" t="str" cm="1">
        <f t="array" aca="1" ref="B22" ca="1">IFERROR(INDIRECT($A$6&amp;"!"&amp;$O22&amp;($A$3+(($A$2-2025)*12))),"")</f>
        <v/>
      </c>
      <c r="C22" s="61" t="s">
        <v>131</v>
      </c>
      <c r="D22" s="62" t="s">
        <v>131</v>
      </c>
      <c r="E22" s="137"/>
      <c r="F22" s="71"/>
      <c r="G22" s="71"/>
      <c r="H22" s="72"/>
      <c r="I22" s="71"/>
      <c r="J22" s="71"/>
      <c r="K22" s="71"/>
      <c r="L22" s="137"/>
      <c r="M22" s="138"/>
      <c r="N22" s="139"/>
      <c r="O22" s="47" t="s">
        <v>103</v>
      </c>
      <c r="P22" s="47"/>
    </row>
    <row r="23" spans="1:17" ht="18" customHeight="1" x14ac:dyDescent="0.55000000000000004">
      <c r="F23" s="73"/>
      <c r="G23" s="226" t="s">
        <v>130</v>
      </c>
      <c r="H23" s="227"/>
      <c r="I23" s="230">
        <f ca="1">SUM(C19:C21)</f>
        <v>0</v>
      </c>
      <c r="J23" s="231"/>
      <c r="K23" s="226" t="s">
        <v>141</v>
      </c>
      <c r="L23" s="234"/>
      <c r="M23" s="236" t="str">
        <f ca="1">IF(I23&lt;11,"△",IF(I23&lt;21,"〇","◎"))</f>
        <v>△</v>
      </c>
      <c r="N23" s="237"/>
      <c r="O23" s="47"/>
      <c r="P23" s="47"/>
    </row>
    <row r="24" spans="1:17" ht="18" customHeight="1" thickBot="1" x14ac:dyDescent="0.6">
      <c r="F24" s="73"/>
      <c r="G24" s="228"/>
      <c r="H24" s="229"/>
      <c r="I24" s="232"/>
      <c r="J24" s="233"/>
      <c r="K24" s="228"/>
      <c r="L24" s="235"/>
      <c r="M24" s="238"/>
      <c r="N24" s="239"/>
      <c r="O24" s="47"/>
      <c r="P24" s="47"/>
      <c r="Q24" s="115"/>
    </row>
    <row r="25" spans="1:17" ht="18" customHeight="1" thickBot="1" x14ac:dyDescent="0.6">
      <c r="F25" s="73"/>
      <c r="G25" s="73"/>
      <c r="H25" s="73"/>
      <c r="I25" s="73"/>
      <c r="J25" s="73"/>
      <c r="K25" s="73"/>
      <c r="O25" s="47"/>
      <c r="P25" s="47"/>
      <c r="Q25" s="115"/>
    </row>
    <row r="26" spans="1:17" ht="18" customHeight="1" thickBot="1" x14ac:dyDescent="0.6">
      <c r="A26" s="161" t="s">
        <v>156</v>
      </c>
      <c r="B26" s="63" t="s">
        <v>157</v>
      </c>
      <c r="F26" s="73"/>
      <c r="G26" s="73"/>
      <c r="H26" s="73"/>
      <c r="I26" s="73"/>
      <c r="J26" s="73"/>
      <c r="K26" s="73"/>
      <c r="O26" s="47"/>
      <c r="P26" s="47"/>
    </row>
    <row r="27" spans="1:17" ht="18" customHeight="1" thickBot="1" x14ac:dyDescent="0.6">
      <c r="A27" s="74" t="s">
        <v>139</v>
      </c>
      <c r="B27" s="75" t="s">
        <v>140</v>
      </c>
      <c r="C27" s="76" t="s">
        <v>130</v>
      </c>
      <c r="D27" s="77" t="s">
        <v>147</v>
      </c>
      <c r="E27" s="257" t="s">
        <v>148</v>
      </c>
      <c r="F27" s="258"/>
      <c r="G27" s="259" t="s">
        <v>149</v>
      </c>
      <c r="H27" s="258"/>
      <c r="I27" s="259" t="s">
        <v>150</v>
      </c>
      <c r="J27" s="258"/>
      <c r="K27" s="259" t="s">
        <v>151</v>
      </c>
      <c r="L27" s="258"/>
      <c r="M27" s="259" t="s">
        <v>152</v>
      </c>
      <c r="N27" s="260"/>
      <c r="O27" s="47"/>
      <c r="P27" s="47"/>
    </row>
    <row r="28" spans="1:17" ht="18" customHeight="1" x14ac:dyDescent="0.55000000000000004">
      <c r="A28" s="78" t="s">
        <v>158</v>
      </c>
      <c r="B28" s="128" t="str" cm="1">
        <f t="array" aca="1" ref="B28" ca="1">IFERROR(INDIRECT($A$6&amp;"!"&amp;$O28&amp;($A$3+(($A$2-2025)*12))),"")</f>
        <v/>
      </c>
      <c r="C28" s="55" t="str" cm="1">
        <f t="array" aca="1" ref="C28" ca="1">IFERROR(IF(B28&lt;INDIRECT($D$6&amp;"!"&amp;"D"&amp;($P28+(($B$4-6)*9))),1,IF(B28&lt;INDIRECT($D$6&amp;"!"&amp;"E"&amp;($P28+(($B$4-6)*9))),2,IF(B28&lt;INDIRECT($D$6&amp;"!"&amp;"F"&amp;($P28+(($B$4-6)*9))),3,IF(B28&lt;INDIRECT($D$6&amp;"!"&amp;"G"&amp;($P28+(($B$4-6)*9))),4,IF(B28&lt;INDIRECT($D$6&amp;"!"&amp;"H"&amp;($P28+(($B$4-6)*9))),5,IF(B28&lt;INDIRECT($D$6&amp;"!"&amp;"I"&amp;($P28+(($B$4-6)*9))),6,IF(B28&lt;INDIRECT($D$6&amp;"!"&amp;"J"&amp;($P28+(($B$4-6)*9))),7,IF(B28&lt;INDIRECT($D$6&amp;"!"&amp;"K"&amp;($P28+(($B$4-6)*9))),8,IF(B28&lt;INDIRECT($D$6&amp;"!"&amp;"L"&amp;($P28+(($B$4-6)*9))),9,10))))))))),"")</f>
        <v/>
      </c>
      <c r="D28" s="54" t="e" cm="1">
        <f t="array" aca="1" ref="D28" ca="1">INDIRECT($D$6&amp;"!"&amp;$D$8&amp;(4+((B4-6)*9)))</f>
        <v>#REF!</v>
      </c>
      <c r="E28" s="129"/>
      <c r="F28" s="68"/>
      <c r="G28" s="68"/>
      <c r="H28" s="69"/>
      <c r="I28" s="68"/>
      <c r="J28" s="68"/>
      <c r="K28" s="70"/>
      <c r="L28" s="130"/>
      <c r="M28" s="131"/>
      <c r="N28" s="132"/>
      <c r="O28" s="47" t="s">
        <v>92</v>
      </c>
      <c r="P28" s="81">
        <v>4</v>
      </c>
    </row>
    <row r="29" spans="1:17" ht="18" customHeight="1" x14ac:dyDescent="0.55000000000000004">
      <c r="A29" s="79" t="s">
        <v>159</v>
      </c>
      <c r="B29" s="134" t="str" cm="1">
        <f t="array" aca="1" ref="B29" ca="1">IFERROR(INDIRECT($A$6&amp;"!"&amp;$O29&amp;($A$3+(($A$2-2025)*12))),"")</f>
        <v/>
      </c>
      <c r="C29" s="58" t="str" cm="1">
        <f t="array" aca="1" ref="C29" ca="1">IFERROR(IF(B29&lt;INDIRECT($D$6&amp;"!"&amp;"D"&amp;($P29+(($B$4-6)*9))),1,IF(B29&lt;INDIRECT($D$6&amp;"!"&amp;"E"&amp;($P29+(($B$4-6)*9))),2,IF(B29&lt;INDIRECT($D$6&amp;"!"&amp;"F"&amp;($P29+(($B$4-6)*9))),3,IF(B29&lt;INDIRECT($D$6&amp;"!"&amp;"G"&amp;($P29+(($B$4-6)*9))),4,IF(B29&lt;INDIRECT($D$6&amp;"!"&amp;"H"&amp;($P29+(($B$4-6)*9))),5,IF(B29&lt;INDIRECT($D$6&amp;"!"&amp;"I"&amp;($P29+(($B$4-6)*9))),6,IF(B29&lt;INDIRECT($D$6&amp;"!"&amp;"J"&amp;($P29+(($B$4-6)*9))),7,IF(B29&lt;INDIRECT($D$6&amp;"!"&amp;"K"&amp;($P29+(($B$4-6)*9))),8,IF(B29&lt;INDIRECT($D$6&amp;"!"&amp;"L"&amp;($P29+(($B$4-6)*9))),9,10))))))))),"")</f>
        <v/>
      </c>
      <c r="D29" s="59" t="e" cm="1">
        <f t="array" aca="1" ref="D29" ca="1">INDIRECT($D$6&amp;"!"&amp;$D$8&amp;(5+((B4-6)*9)))</f>
        <v>#REF!</v>
      </c>
      <c r="E29" s="129"/>
      <c r="F29" s="68"/>
      <c r="G29" s="68"/>
      <c r="H29" s="69"/>
      <c r="I29" s="68"/>
      <c r="J29" s="68"/>
      <c r="K29" s="68"/>
      <c r="L29" s="130"/>
      <c r="M29" s="131"/>
      <c r="N29" s="132"/>
      <c r="O29" s="47" t="s">
        <v>87</v>
      </c>
      <c r="P29" s="81">
        <v>5</v>
      </c>
    </row>
    <row r="30" spans="1:17" ht="18" customHeight="1" x14ac:dyDescent="0.55000000000000004">
      <c r="A30" s="79" t="s">
        <v>160</v>
      </c>
      <c r="B30" s="134" t="str" cm="1">
        <f t="array" aca="1" ref="B30" ca="1">IFERROR(INDIRECT($A$6&amp;"!"&amp;$O30&amp;($A$3+(($A$2-2025)*12))),"")</f>
        <v/>
      </c>
      <c r="C30" s="58" t="str" cm="1">
        <f t="array" aca="1" ref="C30" ca="1">IFERROR(IF(B30&lt;INDIRECT($D$6&amp;"!"&amp;"D"&amp;($P30+(($B$4-6)*9))),1,IF(B30&lt;INDIRECT($D$6&amp;"!"&amp;"E"&amp;($P30+(($B$4-6)*9))),2,IF(B30&lt;INDIRECT($D$6&amp;"!"&amp;"F"&amp;($P30+(($B$4-6)*9))),3,IF(B30&lt;INDIRECT($D$6&amp;"!"&amp;"G"&amp;($P30+(($B$4-6)*9))),4,IF(B30&lt;INDIRECT($D$6&amp;"!"&amp;"H"&amp;($P30+(($B$4-6)*9))),5,IF(B30&lt;INDIRECT($D$6&amp;"!"&amp;"I"&amp;($P30+(($B$4-6)*9))),6,IF(B30&lt;INDIRECT($D$6&amp;"!"&amp;"J"&amp;($P30+(($B$4-6)*9))),7,IF(B30&lt;INDIRECT($D$6&amp;"!"&amp;"K"&amp;($P30+(($B$4-6)*9))),8,IF(B30&lt;INDIRECT($D$6&amp;"!"&amp;"L"&amp;($P30+(($B$4-6)*9))),9,10))))))))),"")</f>
        <v/>
      </c>
      <c r="D30" s="59" t="e" cm="1">
        <f t="array" aca="1" ref="D30" ca="1">INDIRECT($D$6&amp;"!"&amp;$D$8&amp;(6+((B4-6)*9)))</f>
        <v>#REF!</v>
      </c>
      <c r="E30" s="129"/>
      <c r="F30" s="68"/>
      <c r="G30" s="68"/>
      <c r="H30" s="69"/>
      <c r="I30" s="68"/>
      <c r="J30" s="68"/>
      <c r="K30" s="68"/>
      <c r="L30" s="129"/>
      <c r="M30" s="131"/>
      <c r="N30" s="132"/>
      <c r="O30" s="47" t="s">
        <v>90</v>
      </c>
      <c r="P30" s="81">
        <v>6</v>
      </c>
    </row>
    <row r="31" spans="1:17" ht="18" customHeight="1" x14ac:dyDescent="0.55000000000000004">
      <c r="A31" s="79" t="s">
        <v>161</v>
      </c>
      <c r="B31" s="134" t="str" cm="1">
        <f t="array" aca="1" ref="B31" ca="1">IFERROR(INDIRECT($A$6&amp;"!"&amp;$O31&amp;($A$3+(($A$2-2025)*12))),"")</f>
        <v/>
      </c>
      <c r="C31" s="58" t="str" cm="1">
        <f t="array" aca="1" ref="C31" ca="1">IFERROR(IF(B31&lt;INDIRECT($D$6&amp;"!"&amp;"D"&amp;($P31+(($B$4-6)*9))),1,IF(B31&lt;INDIRECT($D$6&amp;"!"&amp;"E"&amp;($P31+(($B$4-6)*9))),2,IF(B31&lt;INDIRECT($D$6&amp;"!"&amp;"F"&amp;($P31+(($B$4-6)*9))),3,IF(B31&lt;INDIRECT($D$6&amp;"!"&amp;"G"&amp;($P31+(($B$4-6)*9))),4,IF(B31&lt;INDIRECT($D$6&amp;"!"&amp;"H"&amp;($P31+(($B$4-6)*9))),5,IF(B31&lt;INDIRECT($D$6&amp;"!"&amp;"I"&amp;($P31+(($B$4-6)*9))),6,IF(B31&lt;INDIRECT($D$6&amp;"!"&amp;"J"&amp;($P31+(($B$4-6)*9))),7,IF(B31&lt;INDIRECT($D$6&amp;"!"&amp;"K"&amp;($P31+(($B$4-6)*9))),8,IF(B31&lt;INDIRECT($D$6&amp;"!"&amp;"L"&amp;($P31+(($B$4-6)*9))),9,10))))))))),"")</f>
        <v/>
      </c>
      <c r="D31" s="59" t="e" cm="1">
        <f t="array" aca="1" ref="D31" ca="1">INDIRECT($D$6&amp;"!"&amp;$D$8&amp;(3+((B4-6)*9)))</f>
        <v>#REF!</v>
      </c>
      <c r="E31" s="129"/>
      <c r="F31" s="68"/>
      <c r="G31" s="68"/>
      <c r="H31" s="69"/>
      <c r="I31" s="68"/>
      <c r="J31" s="68"/>
      <c r="K31" s="68"/>
      <c r="L31" s="129"/>
      <c r="M31" s="131"/>
      <c r="N31" s="132"/>
      <c r="O31" s="47" t="s">
        <v>91</v>
      </c>
      <c r="P31" s="81">
        <v>3</v>
      </c>
    </row>
    <row r="32" spans="1:17" ht="18" customHeight="1" x14ac:dyDescent="0.55000000000000004">
      <c r="A32" s="79" t="s">
        <v>162</v>
      </c>
      <c r="B32" s="140" t="str" cm="1">
        <f t="array" aca="1" ref="B32" ca="1">IFERROR(INDIRECT($A$6&amp;"!"&amp;$O32&amp;($A$3+(($A$2-2025)*12))),"")</f>
        <v/>
      </c>
      <c r="C32" s="58" t="str" cm="1">
        <f t="array" aca="1" ref="C32" ca="1">IFERROR(IF(B32&lt;INDIRECT($D$6&amp;"!"&amp;"D"&amp;($P32+(($B$4-6)*9))),1,IF(B32&lt;INDIRECT($D$6&amp;"!"&amp;"E"&amp;($P32+(($B$4-6)*9))),2,IF(B32&lt;INDIRECT($D$6&amp;"!"&amp;"F"&amp;($P32+(($B$4-6)*9))),3,IF(B32&lt;INDIRECT($D$6&amp;"!"&amp;"G"&amp;($P32+(($B$4-6)*9))),4,IF(B32&lt;INDIRECT($D$6&amp;"!"&amp;"H"&amp;($P32+(($B$4-6)*9))),5,IF(B32&lt;INDIRECT($D$6&amp;"!"&amp;"I"&amp;($P32+(($B$4-6)*9))),6,IF(B32&lt;INDIRECT($D$6&amp;"!"&amp;"J"&amp;($P32+(($B$4-6)*9))),7,IF(B32&lt;INDIRECT($D$6&amp;"!"&amp;"K"&amp;($P32+(($B$4-6)*9))),8,IF(B32&lt;INDIRECT($D$6&amp;"!"&amp;"L"&amp;($P32+(($B$4-6)*9))),9,10))))))))),"")</f>
        <v/>
      </c>
      <c r="D32" s="59" t="e" cm="1">
        <f t="array" aca="1" ref="D32" ca="1">INDIRECT($D$6&amp;"!"&amp;$D$8&amp;(2+((B4-6)*9)))</f>
        <v>#REF!</v>
      </c>
      <c r="E32" s="129"/>
      <c r="F32" s="68"/>
      <c r="G32" s="68"/>
      <c r="H32" s="69"/>
      <c r="I32" s="68"/>
      <c r="J32" s="68"/>
      <c r="K32" s="68"/>
      <c r="L32" s="129"/>
      <c r="M32" s="131"/>
      <c r="N32" s="132"/>
      <c r="O32" s="47" t="s">
        <v>89</v>
      </c>
      <c r="P32" s="81">
        <v>2</v>
      </c>
    </row>
    <row r="33" spans="1:28" ht="18" customHeight="1" x14ac:dyDescent="0.55000000000000004">
      <c r="A33" s="79" t="s">
        <v>163</v>
      </c>
      <c r="B33" s="142" t="str" cm="1">
        <f t="array" aca="1" ref="B33" ca="1">IFERROR(INDIRECT($A$6&amp;"!"&amp;$O33&amp;($A$3+(($A$2-2025)*12))),"")</f>
        <v/>
      </c>
      <c r="C33" s="58" t="s">
        <v>131</v>
      </c>
      <c r="D33" s="59" t="s">
        <v>131</v>
      </c>
      <c r="E33" s="129"/>
      <c r="F33" s="68"/>
      <c r="G33" s="68"/>
      <c r="H33" s="69"/>
      <c r="I33" s="68"/>
      <c r="J33" s="68"/>
      <c r="K33" s="68"/>
      <c r="L33" s="129"/>
      <c r="M33" s="131"/>
      <c r="N33" s="132"/>
      <c r="O33" s="47" t="s">
        <v>88</v>
      </c>
      <c r="P33" s="47"/>
      <c r="R33" s="80"/>
    </row>
    <row r="34" spans="1:28" ht="18" customHeight="1" thickBot="1" x14ac:dyDescent="0.6">
      <c r="A34" s="83" t="s">
        <v>164</v>
      </c>
      <c r="B34" s="143" t="str" cm="1">
        <f t="array" aca="1" ref="B34" ca="1">IFERROR(INDIRECT($A$6&amp;"!"&amp;$O34&amp;($A$3+(($A$2-2025)*12))),"")</f>
        <v/>
      </c>
      <c r="C34" s="61" t="s">
        <v>131</v>
      </c>
      <c r="D34" s="62" t="s">
        <v>131</v>
      </c>
      <c r="E34" s="137"/>
      <c r="F34" s="71"/>
      <c r="G34" s="71"/>
      <c r="H34" s="72"/>
      <c r="I34" s="71"/>
      <c r="J34" s="71"/>
      <c r="K34" s="71"/>
      <c r="L34" s="144"/>
      <c r="M34" s="138"/>
      <c r="N34" s="139"/>
      <c r="O34" s="47" t="s">
        <v>86</v>
      </c>
      <c r="P34" s="47"/>
      <c r="R34" s="82"/>
    </row>
    <row r="35" spans="1:28" ht="18" customHeight="1" x14ac:dyDescent="0.55000000000000004">
      <c r="F35" s="73"/>
      <c r="G35" s="226" t="s">
        <v>130</v>
      </c>
      <c r="H35" s="227"/>
      <c r="I35" s="230">
        <f ca="1">SUM(C28:C32)</f>
        <v>0</v>
      </c>
      <c r="J35" s="231"/>
      <c r="K35" s="226" t="s">
        <v>141</v>
      </c>
      <c r="L35" s="234"/>
      <c r="M35" s="240" t="str">
        <f ca="1">IF(I35&lt;17,"△",IF(I35&lt;34,"〇","◎"))</f>
        <v>△</v>
      </c>
      <c r="N35" s="241"/>
      <c r="O35" s="47"/>
      <c r="P35" s="47"/>
      <c r="Q35" s="141"/>
      <c r="R35" s="82"/>
    </row>
    <row r="36" spans="1:28" ht="18" customHeight="1" thickBot="1" x14ac:dyDescent="0.6">
      <c r="F36" s="73"/>
      <c r="G36" s="228"/>
      <c r="H36" s="229"/>
      <c r="I36" s="232"/>
      <c r="J36" s="233"/>
      <c r="K36" s="228"/>
      <c r="L36" s="235"/>
      <c r="M36" s="242"/>
      <c r="N36" s="243"/>
      <c r="O36" s="47"/>
      <c r="P36" s="47"/>
      <c r="Q36" s="141"/>
      <c r="R36" s="82"/>
    </row>
    <row r="37" spans="1:28" ht="18" customHeight="1" thickBot="1" x14ac:dyDescent="0.6">
      <c r="F37" s="73"/>
      <c r="G37" s="73"/>
      <c r="H37" s="73"/>
      <c r="I37" s="73"/>
      <c r="J37" s="73"/>
      <c r="K37" s="73"/>
      <c r="O37" s="47"/>
      <c r="P37" s="47"/>
      <c r="Q37" s="82"/>
      <c r="R37" s="82"/>
      <c r="T37" s="73"/>
      <c r="U37" s="73"/>
      <c r="V37" s="73"/>
      <c r="W37" s="73"/>
      <c r="X37" s="73"/>
      <c r="Y37" s="73"/>
    </row>
    <row r="38" spans="1:28" ht="18" customHeight="1" thickBot="1" x14ac:dyDescent="0.6">
      <c r="A38" s="162" t="s">
        <v>165</v>
      </c>
      <c r="B38" s="63" t="s">
        <v>166</v>
      </c>
      <c r="F38" s="73"/>
      <c r="G38" s="73"/>
      <c r="H38" s="73"/>
      <c r="I38" s="73"/>
      <c r="J38" s="73"/>
      <c r="K38" s="73"/>
      <c r="O38" s="47"/>
      <c r="P38" s="47"/>
      <c r="Q38" s="82"/>
      <c r="R38" s="82"/>
      <c r="T38" s="73"/>
      <c r="U38" s="73"/>
      <c r="V38" s="73"/>
      <c r="W38" s="73"/>
      <c r="X38" s="73"/>
      <c r="Y38" s="73"/>
    </row>
    <row r="39" spans="1:28" ht="18" customHeight="1" thickBot="1" x14ac:dyDescent="0.6">
      <c r="A39" s="84" t="s">
        <v>139</v>
      </c>
      <c r="B39" s="85" t="s">
        <v>140</v>
      </c>
      <c r="C39" s="86" t="s">
        <v>130</v>
      </c>
      <c r="D39" s="163" t="s">
        <v>147</v>
      </c>
      <c r="E39" s="270" t="s">
        <v>148</v>
      </c>
      <c r="F39" s="271"/>
      <c r="G39" s="272" t="s">
        <v>149</v>
      </c>
      <c r="H39" s="271"/>
      <c r="I39" s="272" t="s">
        <v>150</v>
      </c>
      <c r="J39" s="271"/>
      <c r="K39" s="272" t="s">
        <v>151</v>
      </c>
      <c r="L39" s="271"/>
      <c r="M39" s="272" t="s">
        <v>152</v>
      </c>
      <c r="N39" s="273"/>
      <c r="O39" s="47"/>
      <c r="P39" s="47"/>
      <c r="Q39" s="82"/>
      <c r="R39" s="82"/>
      <c r="T39" s="73"/>
      <c r="U39" s="73"/>
      <c r="V39" s="73"/>
      <c r="W39" s="73"/>
      <c r="X39" s="73"/>
      <c r="Y39" s="73"/>
    </row>
    <row r="40" spans="1:28" ht="18" customHeight="1" x14ac:dyDescent="0.55000000000000004">
      <c r="A40" s="78" t="s">
        <v>120</v>
      </c>
      <c r="B40" s="164" t="str" cm="1">
        <f t="array" aca="1" ref="B40" ca="1">IFERROR(INDIRECT($A$6&amp;"!"&amp;$O40&amp;($A$3+(($A$2-2025)*12))),"")</f>
        <v/>
      </c>
      <c r="C40" s="165" t="str">
        <f ca="1">B40</f>
        <v/>
      </c>
      <c r="D40" s="166" t="s">
        <v>131</v>
      </c>
      <c r="E40" s="145"/>
      <c r="F40" s="69"/>
      <c r="G40" s="68"/>
      <c r="H40" s="69"/>
      <c r="I40" s="68"/>
      <c r="J40" s="69"/>
      <c r="K40" s="68"/>
      <c r="L40" s="129"/>
      <c r="M40" s="131"/>
      <c r="N40" s="146"/>
      <c r="O40" s="47" t="s">
        <v>93</v>
      </c>
      <c r="P40" s="47"/>
      <c r="Q40" s="80"/>
      <c r="R40" s="80"/>
      <c r="S40" s="244"/>
      <c r="T40" s="244"/>
      <c r="U40" s="244"/>
      <c r="V40" s="244"/>
      <c r="W40" s="244"/>
      <c r="X40" s="244"/>
      <c r="Y40" s="244"/>
      <c r="Z40" s="244"/>
      <c r="AA40" s="244"/>
      <c r="AB40" s="244"/>
    </row>
    <row r="41" spans="1:28" ht="18" customHeight="1" x14ac:dyDescent="0.55000000000000004">
      <c r="A41" s="79" t="s">
        <v>121</v>
      </c>
      <c r="B41" s="167" t="str" cm="1">
        <f t="array" aca="1" ref="B41" ca="1">IFERROR(INDIRECT($A$6&amp;"!"&amp;$O41&amp;($A$3+(($A$2-2025)*12))),"")</f>
        <v/>
      </c>
      <c r="C41" s="168" t="str">
        <f t="shared" ref="C41:C43" ca="1" si="0">B41</f>
        <v/>
      </c>
      <c r="D41" s="169" t="s">
        <v>131</v>
      </c>
      <c r="E41" s="147"/>
      <c r="F41" s="87"/>
      <c r="G41" s="88"/>
      <c r="H41" s="87"/>
      <c r="I41" s="88"/>
      <c r="J41" s="87"/>
      <c r="K41" s="88"/>
      <c r="L41" s="148"/>
      <c r="M41" s="149"/>
      <c r="N41" s="150"/>
      <c r="O41" s="47" t="s">
        <v>94</v>
      </c>
      <c r="P41" s="47"/>
      <c r="Q41" s="82"/>
      <c r="R41" s="82"/>
      <c r="S41" s="73"/>
      <c r="X41" s="73"/>
      <c r="Y41" s="73"/>
    </row>
    <row r="42" spans="1:28" ht="18" customHeight="1" x14ac:dyDescent="0.55000000000000004">
      <c r="A42" s="79" t="s">
        <v>122</v>
      </c>
      <c r="B42" s="167" t="str" cm="1">
        <f t="array" aca="1" ref="B42" ca="1">IFERROR(INDIRECT($A$6&amp;"!"&amp;$O42&amp;($A$3+(($A$2-2025)*12))),"")</f>
        <v/>
      </c>
      <c r="C42" s="168" t="str">
        <f t="shared" ca="1" si="0"/>
        <v/>
      </c>
      <c r="D42" s="169" t="s">
        <v>131</v>
      </c>
      <c r="E42" s="147"/>
      <c r="F42" s="87"/>
      <c r="G42" s="88"/>
      <c r="H42" s="87"/>
      <c r="I42" s="88"/>
      <c r="J42" s="87"/>
      <c r="K42" s="88"/>
      <c r="L42" s="148"/>
      <c r="M42" s="149"/>
      <c r="N42" s="150"/>
      <c r="O42" s="47" t="s">
        <v>95</v>
      </c>
      <c r="P42" s="47"/>
      <c r="Q42" s="82"/>
      <c r="R42" s="82"/>
      <c r="S42" s="73"/>
      <c r="X42" s="73"/>
      <c r="Y42" s="73"/>
    </row>
    <row r="43" spans="1:28" ht="18" customHeight="1" x14ac:dyDescent="0.55000000000000004">
      <c r="A43" s="79" t="s">
        <v>123</v>
      </c>
      <c r="B43" s="167" t="str" cm="1">
        <f t="array" aca="1" ref="B43" ca="1">IFERROR(INDIRECT($A$6&amp;"!"&amp;$O43&amp;($A$3+(($A$2-2025)*12))),"")</f>
        <v/>
      </c>
      <c r="C43" s="168" t="str">
        <f t="shared" ca="1" si="0"/>
        <v/>
      </c>
      <c r="D43" s="169" t="s">
        <v>131</v>
      </c>
      <c r="E43" s="147"/>
      <c r="F43" s="87"/>
      <c r="G43" s="88"/>
      <c r="H43" s="87"/>
      <c r="I43" s="88"/>
      <c r="J43" s="87"/>
      <c r="K43" s="88"/>
      <c r="L43" s="148"/>
      <c r="M43" s="149"/>
      <c r="N43" s="150"/>
      <c r="O43" s="47" t="s">
        <v>96</v>
      </c>
      <c r="P43" s="47"/>
      <c r="Q43" s="82"/>
      <c r="R43" s="82"/>
      <c r="S43" s="73"/>
      <c r="X43" s="73"/>
      <c r="Y43" s="73"/>
    </row>
    <row r="44" spans="1:28" ht="18" customHeight="1" thickBot="1" x14ac:dyDescent="0.6">
      <c r="A44" s="83" t="s">
        <v>167</v>
      </c>
      <c r="B44" s="170" t="str" cm="1">
        <f t="array" aca="1" ref="B44" ca="1">IFERROR(INDIRECT($A$6&amp;"!"&amp;$O44&amp;($A$3+(($A$2-2025)*12))),"")</f>
        <v/>
      </c>
      <c r="C44" s="171" t="str" cm="1">
        <f t="array" aca="1" ref="C44" ca="1">IFERROR(IF(B44&gt;INDIRECT($D$6&amp;"!"&amp;"D"&amp;($P44+(($B$4-6)*9))),1,IF(B44&gt;INDIRECT($D$6&amp;"!"&amp;"E"&amp;($P44+(($B$4-6)*9))),2,IF(B44&gt;INDIRECT($D$6&amp;"!"&amp;"F"&amp;($P44+(($B$4-6)*9))),3,IF(B44&gt;INDIRECT($D$6&amp;"!"&amp;"G"&amp;($P44+(($B$4-6)*9))),4,IF(B44&gt;INDIRECT($D$6&amp;"!"&amp;"H"&amp;($P44+(($B$4-6)*9))),5,IF(B44&gt;INDIRECT($D$6&amp;"!"&amp;"I"&amp;($P44+(($B$4-6)*9))),6,IF(B44&gt;INDIRECT($D$6&amp;"!"&amp;"J"&amp;($P44+(($B$4-6)*9))),7,IF(B44&gt;INDIRECT($D$6&amp;"!"&amp;"K"&amp;($P44+(($B$4-6)*9))),8,IF(B44&gt;INDIRECT($D$6&amp;"!"&amp;"L"&amp;($P44+(($B$4-6)*9))),9,10))))))))),"")</f>
        <v/>
      </c>
      <c r="D44" s="172" t="e" cm="1">
        <f t="array" aca="1" ref="D44" ca="1">INDIRECT($D$6&amp;"!"&amp;$D$8&amp;(10+((B4-6)*9)))</f>
        <v>#REF!</v>
      </c>
      <c r="E44" s="151"/>
      <c r="F44" s="72"/>
      <c r="G44" s="71"/>
      <c r="H44" s="72"/>
      <c r="I44" s="71"/>
      <c r="J44" s="72"/>
      <c r="K44" s="71"/>
      <c r="L44" s="137"/>
      <c r="M44" s="138"/>
      <c r="N44" s="152"/>
      <c r="O44" s="47" t="s">
        <v>97</v>
      </c>
      <c r="P44" s="81">
        <v>10</v>
      </c>
      <c r="Q44" s="82"/>
      <c r="R44" s="82"/>
      <c r="S44" s="73"/>
      <c r="X44" s="73"/>
      <c r="Y44" s="73"/>
    </row>
    <row r="45" spans="1:28" ht="18" customHeight="1" x14ac:dyDescent="0.55000000000000004">
      <c r="G45" s="245" t="s">
        <v>130</v>
      </c>
      <c r="H45" s="246"/>
      <c r="I45" s="247">
        <f ca="1">SUM(C40:C44)</f>
        <v>0</v>
      </c>
      <c r="J45" s="248"/>
      <c r="K45" s="245" t="s">
        <v>141</v>
      </c>
      <c r="L45" s="249"/>
      <c r="M45" s="250" t="str">
        <f ca="1">IF(I45&lt;17,"△",IF(I45&lt;34,"〇","◎"))</f>
        <v>△</v>
      </c>
      <c r="N45" s="251"/>
      <c r="O45" s="47"/>
      <c r="P45" s="47"/>
    </row>
    <row r="46" spans="1:28" ht="18" customHeight="1" thickBot="1" x14ac:dyDescent="0.6">
      <c r="G46" s="228"/>
      <c r="H46" s="229"/>
      <c r="I46" s="232"/>
      <c r="J46" s="233"/>
      <c r="K46" s="228"/>
      <c r="L46" s="235"/>
      <c r="M46" s="252"/>
      <c r="N46" s="239"/>
      <c r="O46" s="47"/>
      <c r="P46" s="81"/>
      <c r="S46" s="73"/>
      <c r="X46" s="73"/>
      <c r="Y46" s="73"/>
    </row>
    <row r="47" spans="1:28" ht="18" customHeight="1" thickBot="1" x14ac:dyDescent="0.6">
      <c r="A47" s="89" t="s">
        <v>168</v>
      </c>
      <c r="O47" s="47"/>
      <c r="P47" s="47"/>
      <c r="S47" s="244"/>
      <c r="T47" s="244"/>
      <c r="U47" s="244"/>
      <c r="V47" s="244"/>
      <c r="W47" s="244"/>
      <c r="X47" s="244"/>
      <c r="Y47" s="244"/>
      <c r="Z47" s="244"/>
      <c r="AA47" s="244"/>
      <c r="AB47" s="244"/>
    </row>
    <row r="48" spans="1:28" ht="18" customHeight="1" x14ac:dyDescent="0.55000000000000004">
      <c r="A48" s="261" t="str" cm="1">
        <f t="array" aca="1" ref="A48" ca="1">IFERROR(INDIRECT($A$6&amp;"!"&amp;$Q48&amp;($A$3+(($A$2-2025)*12))),"")</f>
        <v/>
      </c>
      <c r="B48" s="262"/>
      <c r="C48" s="262"/>
      <c r="D48" s="262"/>
      <c r="E48" s="262"/>
      <c r="F48" s="262"/>
      <c r="G48" s="262"/>
      <c r="H48" s="262"/>
      <c r="I48" s="262"/>
      <c r="J48" s="262"/>
      <c r="K48" s="262"/>
      <c r="L48" s="262"/>
      <c r="M48" s="262"/>
      <c r="N48" s="262"/>
      <c r="O48" s="262"/>
      <c r="P48" s="263"/>
      <c r="Q48" s="46" t="s">
        <v>198</v>
      </c>
      <c r="S48" s="15"/>
      <c r="T48" s="15"/>
      <c r="U48" s="15"/>
      <c r="V48" s="15"/>
      <c r="W48" s="15"/>
      <c r="X48" s="15"/>
      <c r="Y48" s="15"/>
      <c r="Z48" s="15"/>
      <c r="AA48" s="15"/>
      <c r="AB48" s="15"/>
    </row>
    <row r="49" spans="1:16" x14ac:dyDescent="0.55000000000000004">
      <c r="A49" s="264"/>
      <c r="B49" s="265"/>
      <c r="C49" s="265"/>
      <c r="D49" s="265"/>
      <c r="E49" s="265"/>
      <c r="F49" s="265"/>
      <c r="G49" s="265"/>
      <c r="H49" s="265"/>
      <c r="I49" s="265"/>
      <c r="J49" s="265"/>
      <c r="K49" s="265"/>
      <c r="L49" s="265"/>
      <c r="M49" s="265"/>
      <c r="N49" s="265"/>
      <c r="O49" s="265"/>
      <c r="P49" s="266"/>
    </row>
    <row r="50" spans="1:16" ht="18" customHeight="1" x14ac:dyDescent="0.55000000000000004">
      <c r="A50" s="264"/>
      <c r="B50" s="265"/>
      <c r="C50" s="265"/>
      <c r="D50" s="265"/>
      <c r="E50" s="265"/>
      <c r="F50" s="265"/>
      <c r="G50" s="265"/>
      <c r="H50" s="265"/>
      <c r="I50" s="265"/>
      <c r="J50" s="265"/>
      <c r="K50" s="265"/>
      <c r="L50" s="265"/>
      <c r="M50" s="265"/>
      <c r="N50" s="265"/>
      <c r="O50" s="265"/>
      <c r="P50" s="266"/>
    </row>
    <row r="51" spans="1:16" x14ac:dyDescent="0.55000000000000004">
      <c r="A51" s="264"/>
      <c r="B51" s="265"/>
      <c r="C51" s="265"/>
      <c r="D51" s="265"/>
      <c r="E51" s="265"/>
      <c r="F51" s="265"/>
      <c r="G51" s="265"/>
      <c r="H51" s="265"/>
      <c r="I51" s="265"/>
      <c r="J51" s="265"/>
      <c r="K51" s="265"/>
      <c r="L51" s="265"/>
      <c r="M51" s="265"/>
      <c r="N51" s="265"/>
      <c r="O51" s="265"/>
      <c r="P51" s="266"/>
    </row>
    <row r="52" spans="1:16" x14ac:dyDescent="0.55000000000000004">
      <c r="A52" s="264"/>
      <c r="B52" s="265"/>
      <c r="C52" s="265"/>
      <c r="D52" s="265"/>
      <c r="E52" s="265"/>
      <c r="F52" s="265"/>
      <c r="G52" s="265"/>
      <c r="H52" s="265"/>
      <c r="I52" s="265"/>
      <c r="J52" s="265"/>
      <c r="K52" s="265"/>
      <c r="L52" s="265"/>
      <c r="M52" s="265"/>
      <c r="N52" s="265"/>
      <c r="O52" s="265"/>
      <c r="P52" s="266"/>
    </row>
    <row r="53" spans="1:16" ht="18.5" thickBot="1" x14ac:dyDescent="0.6">
      <c r="A53" s="267"/>
      <c r="B53" s="268"/>
      <c r="C53" s="268"/>
      <c r="D53" s="268"/>
      <c r="E53" s="268"/>
      <c r="F53" s="268"/>
      <c r="G53" s="268"/>
      <c r="H53" s="268"/>
      <c r="I53" s="268"/>
      <c r="J53" s="268"/>
      <c r="K53" s="268"/>
      <c r="L53" s="268"/>
      <c r="M53" s="268"/>
      <c r="N53" s="268"/>
      <c r="O53" s="268"/>
      <c r="P53" s="269"/>
    </row>
    <row r="55" spans="1:16" x14ac:dyDescent="0.55000000000000004">
      <c r="C55" s="153"/>
    </row>
  </sheetData>
  <mergeCells count="56">
    <mergeCell ref="A48:P53"/>
    <mergeCell ref="E39:F39"/>
    <mergeCell ref="G39:H39"/>
    <mergeCell ref="I39:J39"/>
    <mergeCell ref="K39:L39"/>
    <mergeCell ref="M39:N39"/>
    <mergeCell ref="E27:F27"/>
    <mergeCell ref="G27:H27"/>
    <mergeCell ref="I27:J27"/>
    <mergeCell ref="K27:L27"/>
    <mergeCell ref="M27:N27"/>
    <mergeCell ref="E18:F18"/>
    <mergeCell ref="G18:H18"/>
    <mergeCell ref="I18:J18"/>
    <mergeCell ref="K18:L18"/>
    <mergeCell ref="M18:N18"/>
    <mergeCell ref="W47:X47"/>
    <mergeCell ref="Y47:Z47"/>
    <mergeCell ref="AA47:AB47"/>
    <mergeCell ref="G45:H46"/>
    <mergeCell ref="I45:J46"/>
    <mergeCell ref="K45:L46"/>
    <mergeCell ref="M45:N46"/>
    <mergeCell ref="S47:T47"/>
    <mergeCell ref="U47:V47"/>
    <mergeCell ref="S40:T40"/>
    <mergeCell ref="U40:V40"/>
    <mergeCell ref="W40:X40"/>
    <mergeCell ref="Y40:Z40"/>
    <mergeCell ref="AA40:AB40"/>
    <mergeCell ref="G23:H24"/>
    <mergeCell ref="I23:J24"/>
    <mergeCell ref="K23:L24"/>
    <mergeCell ref="M23:N24"/>
    <mergeCell ref="M35:N36"/>
    <mergeCell ref="K35:L36"/>
    <mergeCell ref="I35:J36"/>
    <mergeCell ref="G35:H36"/>
    <mergeCell ref="E13:F13"/>
    <mergeCell ref="G13:H13"/>
    <mergeCell ref="E14:F14"/>
    <mergeCell ref="G14:H14"/>
    <mergeCell ref="E4:F4"/>
    <mergeCell ref="E12:F12"/>
    <mergeCell ref="G12:H12"/>
    <mergeCell ref="D9:E9"/>
    <mergeCell ref="E10:F10"/>
    <mergeCell ref="G10:H10"/>
    <mergeCell ref="G11:H11"/>
    <mergeCell ref="E11:F11"/>
    <mergeCell ref="B5:C5"/>
    <mergeCell ref="D5:F5"/>
    <mergeCell ref="K5:L7"/>
    <mergeCell ref="M5:N7"/>
    <mergeCell ref="A6:C7"/>
    <mergeCell ref="D6:F7"/>
  </mergeCells>
  <phoneticPr fontId="2"/>
  <conditionalFormatting sqref="A2:A3 A6:C7 D11 C12:D14">
    <cfRule type="containsBlanks" dxfId="130" priority="1">
      <formula>LEN(TRIM(A2))=0</formula>
    </cfRule>
  </conditionalFormatting>
  <conditionalFormatting sqref="E19">
    <cfRule type="expression" dxfId="129" priority="131">
      <formula>$C$19&gt;=1</formula>
    </cfRule>
  </conditionalFormatting>
  <conditionalFormatting sqref="E20">
    <cfRule type="expression" dxfId="128" priority="121">
      <formula>$C$20&gt;=1</formula>
    </cfRule>
  </conditionalFormatting>
  <conditionalFormatting sqref="E21">
    <cfRule type="expression" dxfId="127" priority="111">
      <formula>$C$21&gt;=1</formula>
    </cfRule>
  </conditionalFormatting>
  <conditionalFormatting sqref="E28">
    <cfRule type="expression" dxfId="126" priority="101">
      <formula>$C$28&gt;=1</formula>
    </cfRule>
  </conditionalFormatting>
  <conditionalFormatting sqref="E29">
    <cfRule type="expression" dxfId="125" priority="91">
      <formula>$C$29&gt;=1</formula>
    </cfRule>
  </conditionalFormatting>
  <conditionalFormatting sqref="E30">
    <cfRule type="expression" dxfId="124" priority="81">
      <formula>$C$30&gt;=1</formula>
    </cfRule>
  </conditionalFormatting>
  <conditionalFormatting sqref="E31">
    <cfRule type="expression" dxfId="123" priority="71">
      <formula>$C$31&gt;=1</formula>
    </cfRule>
  </conditionalFormatting>
  <conditionalFormatting sqref="E32">
    <cfRule type="expression" dxfId="122" priority="61">
      <formula>$C$32&gt;=1</formula>
    </cfRule>
  </conditionalFormatting>
  <conditionalFormatting sqref="E40">
    <cfRule type="expression" dxfId="121" priority="51">
      <formula>$C$40&gt;=1</formula>
    </cfRule>
  </conditionalFormatting>
  <conditionalFormatting sqref="E41">
    <cfRule type="expression" dxfId="120" priority="41">
      <formula>$C$41&gt;=1</formula>
    </cfRule>
  </conditionalFormatting>
  <conditionalFormatting sqref="E42">
    <cfRule type="expression" dxfId="119" priority="31">
      <formula>$C$42&gt;=1</formula>
    </cfRule>
  </conditionalFormatting>
  <conditionalFormatting sqref="E43">
    <cfRule type="expression" dxfId="118" priority="21">
      <formula>$C$43&gt;=1</formula>
    </cfRule>
  </conditionalFormatting>
  <conditionalFormatting sqref="E44">
    <cfRule type="expression" dxfId="117" priority="11">
      <formula>$C$44&gt;=1</formula>
    </cfRule>
  </conditionalFormatting>
  <conditionalFormatting sqref="F19">
    <cfRule type="expression" dxfId="116" priority="130">
      <formula>$C$19&gt;=2</formula>
    </cfRule>
  </conditionalFormatting>
  <conditionalFormatting sqref="F20">
    <cfRule type="expression" dxfId="115" priority="120">
      <formula>$C$20&gt;=2</formula>
    </cfRule>
  </conditionalFormatting>
  <conditionalFormatting sqref="F21">
    <cfRule type="expression" dxfId="114" priority="110">
      <formula>$C$21&gt;=2</formula>
    </cfRule>
  </conditionalFormatting>
  <conditionalFormatting sqref="F28">
    <cfRule type="expression" dxfId="113" priority="100">
      <formula>$C$28&gt;=2</formula>
    </cfRule>
  </conditionalFormatting>
  <conditionalFormatting sqref="F29">
    <cfRule type="expression" dxfId="112" priority="90">
      <formula>$C$29&gt;=2</formula>
    </cfRule>
  </conditionalFormatting>
  <conditionalFormatting sqref="F30">
    <cfRule type="expression" dxfId="111" priority="80">
      <formula>$C$30&gt;=2</formula>
    </cfRule>
  </conditionalFormatting>
  <conditionalFormatting sqref="F31">
    <cfRule type="expression" dxfId="110" priority="70">
      <formula>$C$31&gt;=2</formula>
    </cfRule>
  </conditionalFormatting>
  <conditionalFormatting sqref="F32">
    <cfRule type="expression" dxfId="109" priority="60">
      <formula>$C$32&gt;=2</formula>
    </cfRule>
  </conditionalFormatting>
  <conditionalFormatting sqref="F40">
    <cfRule type="expression" dxfId="108" priority="50">
      <formula>$C$40&gt;=2</formula>
    </cfRule>
  </conditionalFormatting>
  <conditionalFormatting sqref="F41">
    <cfRule type="expression" dxfId="107" priority="40">
      <formula>$C$41&gt;=2</formula>
    </cfRule>
  </conditionalFormatting>
  <conditionalFormatting sqref="F42">
    <cfRule type="expression" dxfId="106" priority="30">
      <formula>$C$42&gt;=2</formula>
    </cfRule>
  </conditionalFormatting>
  <conditionalFormatting sqref="F43">
    <cfRule type="expression" dxfId="105" priority="20">
      <formula>$C$43&gt;=2</formula>
    </cfRule>
  </conditionalFormatting>
  <conditionalFormatting sqref="F44">
    <cfRule type="expression" dxfId="104" priority="10">
      <formula>$C$44&gt;=2</formula>
    </cfRule>
  </conditionalFormatting>
  <conditionalFormatting sqref="G19">
    <cfRule type="expression" dxfId="103" priority="129">
      <formula>$C$19&gt;=3</formula>
    </cfRule>
  </conditionalFormatting>
  <conditionalFormatting sqref="G20">
    <cfRule type="expression" dxfId="102" priority="119">
      <formula>$C$20&gt;=3</formula>
    </cfRule>
  </conditionalFormatting>
  <conditionalFormatting sqref="G21">
    <cfRule type="expression" dxfId="101" priority="109">
      <formula>$C$21&gt;=3</formula>
    </cfRule>
  </conditionalFormatting>
  <conditionalFormatting sqref="G28">
    <cfRule type="expression" dxfId="100" priority="99">
      <formula>$C$28&gt;=3</formula>
    </cfRule>
  </conditionalFormatting>
  <conditionalFormatting sqref="G29">
    <cfRule type="expression" dxfId="99" priority="89">
      <formula>$C$29&gt;=3</formula>
    </cfRule>
  </conditionalFormatting>
  <conditionalFormatting sqref="G30">
    <cfRule type="expression" dxfId="98" priority="79">
      <formula>$C$30&gt;=3</formula>
    </cfRule>
  </conditionalFormatting>
  <conditionalFormatting sqref="G31">
    <cfRule type="expression" dxfId="97" priority="69">
      <formula>$C$31&gt;=3</formula>
    </cfRule>
  </conditionalFormatting>
  <conditionalFormatting sqref="G32">
    <cfRule type="expression" dxfId="96" priority="59">
      <formula>$C$32&gt;=3</formula>
    </cfRule>
  </conditionalFormatting>
  <conditionalFormatting sqref="G40">
    <cfRule type="expression" dxfId="95" priority="49">
      <formula>$C$40&gt;=3</formula>
    </cfRule>
  </conditionalFormatting>
  <conditionalFormatting sqref="G41">
    <cfRule type="expression" dxfId="94" priority="39">
      <formula>$C$41&gt;=3</formula>
    </cfRule>
  </conditionalFormatting>
  <conditionalFormatting sqref="G42">
    <cfRule type="expression" dxfId="93" priority="29">
      <formula>$C$42&gt;=3</formula>
    </cfRule>
  </conditionalFormatting>
  <conditionalFormatting sqref="G43">
    <cfRule type="expression" dxfId="92" priority="19">
      <formula>$C$43&gt;=3</formula>
    </cfRule>
  </conditionalFormatting>
  <conditionalFormatting sqref="G44">
    <cfRule type="expression" dxfId="91" priority="9">
      <formula>$C$44&gt;=3</formula>
    </cfRule>
  </conditionalFormatting>
  <conditionalFormatting sqref="H19">
    <cfRule type="expression" dxfId="90" priority="128">
      <formula>$C$19&gt;=4</formula>
    </cfRule>
  </conditionalFormatting>
  <conditionalFormatting sqref="H20">
    <cfRule type="expression" dxfId="89" priority="118">
      <formula>$C$20&gt;=4</formula>
    </cfRule>
  </conditionalFormatting>
  <conditionalFormatting sqref="H21">
    <cfRule type="expression" dxfId="88" priority="108">
      <formula>$C$21&gt;=4</formula>
    </cfRule>
  </conditionalFormatting>
  <conditionalFormatting sqref="H28">
    <cfRule type="expression" dxfId="87" priority="98">
      <formula>$C$28&gt;=4</formula>
    </cfRule>
  </conditionalFormatting>
  <conditionalFormatting sqref="H29">
    <cfRule type="expression" dxfId="86" priority="88">
      <formula>$C$29&gt;=4</formula>
    </cfRule>
  </conditionalFormatting>
  <conditionalFormatting sqref="H30">
    <cfRule type="expression" dxfId="85" priority="78">
      <formula>$C$30&gt;=4</formula>
    </cfRule>
  </conditionalFormatting>
  <conditionalFormatting sqref="H31">
    <cfRule type="expression" dxfId="84" priority="68">
      <formula>$C$31&gt;=4</formula>
    </cfRule>
  </conditionalFormatting>
  <conditionalFormatting sqref="H32">
    <cfRule type="expression" dxfId="83" priority="58">
      <formula>$C$32&gt;=4</formula>
    </cfRule>
  </conditionalFormatting>
  <conditionalFormatting sqref="H40">
    <cfRule type="expression" dxfId="82" priority="48">
      <formula>$C$40&gt;=4</formula>
    </cfRule>
  </conditionalFormatting>
  <conditionalFormatting sqref="H41">
    <cfRule type="expression" dxfId="81" priority="38">
      <formula>$C$41&gt;=4</formula>
    </cfRule>
  </conditionalFormatting>
  <conditionalFormatting sqref="H42">
    <cfRule type="expression" dxfId="80" priority="28">
      <formula>$C$42&gt;=4</formula>
    </cfRule>
  </conditionalFormatting>
  <conditionalFormatting sqref="H43">
    <cfRule type="expression" dxfId="79" priority="18">
      <formula>$C$43&gt;=4</formula>
    </cfRule>
  </conditionalFormatting>
  <conditionalFormatting sqref="H44">
    <cfRule type="expression" dxfId="78" priority="8">
      <formula>$C$44&gt;=4</formula>
    </cfRule>
  </conditionalFormatting>
  <conditionalFormatting sqref="I19">
    <cfRule type="expression" dxfId="77" priority="127">
      <formula>$C$19&gt;=5</formula>
    </cfRule>
  </conditionalFormatting>
  <conditionalFormatting sqref="I20">
    <cfRule type="expression" dxfId="76" priority="117">
      <formula>$C$20&gt;=5</formula>
    </cfRule>
  </conditionalFormatting>
  <conditionalFormatting sqref="I21">
    <cfRule type="expression" dxfId="75" priority="107">
      <formula>$C$21&gt;=5</formula>
    </cfRule>
  </conditionalFormatting>
  <conditionalFormatting sqref="I28">
    <cfRule type="expression" dxfId="74" priority="97">
      <formula>$C$28&gt;=5</formula>
    </cfRule>
  </conditionalFormatting>
  <conditionalFormatting sqref="I29">
    <cfRule type="expression" dxfId="73" priority="87">
      <formula>$C$29&gt;=5</formula>
    </cfRule>
  </conditionalFormatting>
  <conditionalFormatting sqref="I30">
    <cfRule type="expression" dxfId="72" priority="77">
      <formula>$C$30&gt;=5</formula>
    </cfRule>
  </conditionalFormatting>
  <conditionalFormatting sqref="I31">
    <cfRule type="expression" dxfId="71" priority="67">
      <formula>$C$31&gt;=5</formula>
    </cfRule>
  </conditionalFormatting>
  <conditionalFormatting sqref="I32">
    <cfRule type="expression" dxfId="70" priority="57">
      <formula>$C$32&gt;=5</formula>
    </cfRule>
  </conditionalFormatting>
  <conditionalFormatting sqref="I40">
    <cfRule type="expression" dxfId="69" priority="47">
      <formula>$C$40&gt;=5</formula>
    </cfRule>
  </conditionalFormatting>
  <conditionalFormatting sqref="I41">
    <cfRule type="expression" dxfId="68" priority="37">
      <formula>$C$41&gt;=5</formula>
    </cfRule>
  </conditionalFormatting>
  <conditionalFormatting sqref="I42">
    <cfRule type="expression" dxfId="67" priority="27">
      <formula>$C$42&gt;=5</formula>
    </cfRule>
  </conditionalFormatting>
  <conditionalFormatting sqref="I43">
    <cfRule type="expression" dxfId="66" priority="17">
      <formula>$C$43&gt;=5</formula>
    </cfRule>
  </conditionalFormatting>
  <conditionalFormatting sqref="I44">
    <cfRule type="expression" dxfId="65" priority="7">
      <formula>$C$44&gt;=5</formula>
    </cfRule>
  </conditionalFormatting>
  <conditionalFormatting sqref="J19">
    <cfRule type="expression" dxfId="64" priority="126">
      <formula>$C$19&gt;=6</formula>
    </cfRule>
  </conditionalFormatting>
  <conditionalFormatting sqref="J20">
    <cfRule type="expression" dxfId="63" priority="116">
      <formula>$C$20&gt;=6</formula>
    </cfRule>
  </conditionalFormatting>
  <conditionalFormatting sqref="J21">
    <cfRule type="expression" dxfId="62" priority="106">
      <formula>$C$21&gt;=6</formula>
    </cfRule>
  </conditionalFormatting>
  <conditionalFormatting sqref="J28">
    <cfRule type="expression" dxfId="61" priority="96">
      <formula>$C$28&gt;=6</formula>
    </cfRule>
  </conditionalFormatting>
  <conditionalFormatting sqref="J29">
    <cfRule type="expression" dxfId="60" priority="86">
      <formula>$C$29&gt;=6</formula>
    </cfRule>
  </conditionalFormatting>
  <conditionalFormatting sqref="J30">
    <cfRule type="expression" dxfId="59" priority="76">
      <formula>$C$30&gt;=6</formula>
    </cfRule>
  </conditionalFormatting>
  <conditionalFormatting sqref="J31">
    <cfRule type="expression" dxfId="58" priority="66">
      <formula>$C$31&gt;=6</formula>
    </cfRule>
  </conditionalFormatting>
  <conditionalFormatting sqref="J32">
    <cfRule type="expression" dxfId="57" priority="56">
      <formula>$C$32&gt;=6</formula>
    </cfRule>
  </conditionalFormatting>
  <conditionalFormatting sqref="J40">
    <cfRule type="expression" dxfId="56" priority="46">
      <formula>$C$40&gt;=6</formula>
    </cfRule>
  </conditionalFormatting>
  <conditionalFormatting sqref="J41">
    <cfRule type="expression" dxfId="55" priority="36">
      <formula>$C$41&gt;=6</formula>
    </cfRule>
  </conditionalFormatting>
  <conditionalFormatting sqref="J42">
    <cfRule type="expression" dxfId="54" priority="26">
      <formula>$C$42&gt;=6</formula>
    </cfRule>
  </conditionalFormatting>
  <conditionalFormatting sqref="J43">
    <cfRule type="expression" dxfId="53" priority="16">
      <formula>$C$43&gt;=6</formula>
    </cfRule>
  </conditionalFormatting>
  <conditionalFormatting sqref="J44">
    <cfRule type="expression" dxfId="52" priority="6">
      <formula>$C$44&gt;=6</formula>
    </cfRule>
  </conditionalFormatting>
  <conditionalFormatting sqref="K19">
    <cfRule type="expression" dxfId="51" priority="125">
      <formula>$C$19&gt;=7</formula>
    </cfRule>
  </conditionalFormatting>
  <conditionalFormatting sqref="K20">
    <cfRule type="expression" dxfId="50" priority="115">
      <formula>$C$20&gt;=7</formula>
    </cfRule>
  </conditionalFormatting>
  <conditionalFormatting sqref="K21">
    <cfRule type="expression" dxfId="49" priority="105">
      <formula>$C$21&gt;=7</formula>
    </cfRule>
  </conditionalFormatting>
  <conditionalFormatting sqref="K28">
    <cfRule type="expression" dxfId="48" priority="95">
      <formula>$C$28&gt;=7</formula>
    </cfRule>
  </conditionalFormatting>
  <conditionalFormatting sqref="K29">
    <cfRule type="expression" dxfId="47" priority="85">
      <formula>$C$29&gt;=7</formula>
    </cfRule>
  </conditionalFormatting>
  <conditionalFormatting sqref="K30">
    <cfRule type="expression" dxfId="46" priority="75">
      <formula>$C$30&gt;=7</formula>
    </cfRule>
  </conditionalFormatting>
  <conditionalFormatting sqref="K31">
    <cfRule type="expression" dxfId="45" priority="65">
      <formula>$C$31&gt;=7</formula>
    </cfRule>
  </conditionalFormatting>
  <conditionalFormatting sqref="K32">
    <cfRule type="expression" dxfId="44" priority="55">
      <formula>$C$32&gt;=7</formula>
    </cfRule>
  </conditionalFormatting>
  <conditionalFormatting sqref="K40">
    <cfRule type="expression" dxfId="43" priority="45">
      <formula>$C$40&gt;=7</formula>
    </cfRule>
  </conditionalFormatting>
  <conditionalFormatting sqref="K41">
    <cfRule type="expression" dxfId="42" priority="35">
      <formula>$C$41&gt;=7</formula>
    </cfRule>
  </conditionalFormatting>
  <conditionalFormatting sqref="K42">
    <cfRule type="expression" dxfId="41" priority="25">
      <formula>$C$42&gt;=7</formula>
    </cfRule>
  </conditionalFormatting>
  <conditionalFormatting sqref="K43">
    <cfRule type="expression" dxfId="40" priority="15">
      <formula>$C$43&gt;=7</formula>
    </cfRule>
  </conditionalFormatting>
  <conditionalFormatting sqref="K44">
    <cfRule type="expression" dxfId="39" priority="5">
      <formula>$C$44&gt;=7</formula>
    </cfRule>
  </conditionalFormatting>
  <conditionalFormatting sqref="L19">
    <cfRule type="expression" dxfId="38" priority="124">
      <formula>$C$19&gt;=8</formula>
    </cfRule>
  </conditionalFormatting>
  <conditionalFormatting sqref="L20">
    <cfRule type="expression" dxfId="37" priority="114">
      <formula>$C$20&gt;=8</formula>
    </cfRule>
  </conditionalFormatting>
  <conditionalFormatting sqref="L21">
    <cfRule type="expression" dxfId="36" priority="104">
      <formula>$C$21&gt;=8</formula>
    </cfRule>
  </conditionalFormatting>
  <conditionalFormatting sqref="L28">
    <cfRule type="expression" dxfId="35" priority="94">
      <formula>$C$28&gt;=8</formula>
    </cfRule>
  </conditionalFormatting>
  <conditionalFormatting sqref="L29">
    <cfRule type="expression" dxfId="34" priority="84">
      <formula>$C$29&gt;=8</formula>
    </cfRule>
  </conditionalFormatting>
  <conditionalFormatting sqref="L30">
    <cfRule type="expression" dxfId="33" priority="74">
      <formula>$C$30&gt;=8</formula>
    </cfRule>
  </conditionalFormatting>
  <conditionalFormatting sqref="L31">
    <cfRule type="expression" dxfId="32" priority="64">
      <formula>$C$31&gt;=8</formula>
    </cfRule>
  </conditionalFormatting>
  <conditionalFormatting sqref="L32">
    <cfRule type="expression" dxfId="31" priority="54">
      <formula>$C$32&gt;=8</formula>
    </cfRule>
  </conditionalFormatting>
  <conditionalFormatting sqref="L40">
    <cfRule type="expression" dxfId="30" priority="44">
      <formula>$C$40&gt;=8</formula>
    </cfRule>
  </conditionalFormatting>
  <conditionalFormatting sqref="L41">
    <cfRule type="expression" dxfId="29" priority="34">
      <formula>$C$41&gt;=8</formula>
    </cfRule>
  </conditionalFormatting>
  <conditionalFormatting sqref="L42">
    <cfRule type="expression" dxfId="28" priority="24">
      <formula>$C$42&gt;=8</formula>
    </cfRule>
  </conditionalFormatting>
  <conditionalFormatting sqref="L43">
    <cfRule type="expression" dxfId="27" priority="14">
      <formula>$C$43&gt;=8</formula>
    </cfRule>
  </conditionalFormatting>
  <conditionalFormatting sqref="L44">
    <cfRule type="expression" dxfId="26" priority="4">
      <formula>$C$44&gt;=8</formula>
    </cfRule>
  </conditionalFormatting>
  <conditionalFormatting sqref="M19">
    <cfRule type="expression" dxfId="25" priority="123">
      <formula>$C$19&gt;=9</formula>
    </cfRule>
  </conditionalFormatting>
  <conditionalFormatting sqref="M20">
    <cfRule type="expression" dxfId="24" priority="113">
      <formula>$C$20&gt;=9</formula>
    </cfRule>
  </conditionalFormatting>
  <conditionalFormatting sqref="M21">
    <cfRule type="expression" dxfId="23" priority="103">
      <formula>$C$21&gt;=9</formula>
    </cfRule>
  </conditionalFormatting>
  <conditionalFormatting sqref="M28">
    <cfRule type="expression" dxfId="22" priority="93">
      <formula>$C$28&gt;=9</formula>
    </cfRule>
  </conditionalFormatting>
  <conditionalFormatting sqref="M29">
    <cfRule type="expression" dxfId="21" priority="83">
      <formula>$C$29&gt;=9</formula>
    </cfRule>
  </conditionalFormatting>
  <conditionalFormatting sqref="M30">
    <cfRule type="expression" dxfId="20" priority="73">
      <formula>$C$30&gt;=9</formula>
    </cfRule>
  </conditionalFormatting>
  <conditionalFormatting sqref="M31">
    <cfRule type="expression" dxfId="19" priority="63">
      <formula>$C$31&gt;=9</formula>
    </cfRule>
  </conditionalFormatting>
  <conditionalFormatting sqref="M32">
    <cfRule type="expression" dxfId="18" priority="53">
      <formula>$C$32&gt;=9</formula>
    </cfRule>
  </conditionalFormatting>
  <conditionalFormatting sqref="M40">
    <cfRule type="expression" dxfId="17" priority="43">
      <formula>$C$40&gt;=9</formula>
    </cfRule>
  </conditionalFormatting>
  <conditionalFormatting sqref="M41">
    <cfRule type="expression" dxfId="16" priority="33">
      <formula>$C$41&gt;=9</formula>
    </cfRule>
  </conditionalFormatting>
  <conditionalFormatting sqref="M42">
    <cfRule type="expression" dxfId="15" priority="23">
      <formula>$C$42&gt;=9</formula>
    </cfRule>
  </conditionalFormatting>
  <conditionalFormatting sqref="M43">
    <cfRule type="expression" dxfId="14" priority="13">
      <formula>$C$43&gt;=9</formula>
    </cfRule>
  </conditionalFormatting>
  <conditionalFormatting sqref="M44">
    <cfRule type="expression" dxfId="13" priority="3">
      <formula>$C$44&gt;=9</formula>
    </cfRule>
  </conditionalFormatting>
  <conditionalFormatting sqref="N19">
    <cfRule type="expression" dxfId="12" priority="122">
      <formula>$C$19&gt;=10</formula>
    </cfRule>
  </conditionalFormatting>
  <conditionalFormatting sqref="N20">
    <cfRule type="expression" dxfId="11" priority="112">
      <formula>$C$20&gt;=10</formula>
    </cfRule>
  </conditionalFormatting>
  <conditionalFormatting sqref="N21">
    <cfRule type="expression" dxfId="10" priority="102">
      <formula>$C$21&gt;=10</formula>
    </cfRule>
  </conditionalFormatting>
  <conditionalFormatting sqref="N28">
    <cfRule type="expression" dxfId="9" priority="92">
      <formula>$C$28&gt;=10</formula>
    </cfRule>
  </conditionalFormatting>
  <conditionalFormatting sqref="N29">
    <cfRule type="expression" dxfId="8" priority="82">
      <formula>$C$29&gt;=10</formula>
    </cfRule>
  </conditionalFormatting>
  <conditionalFormatting sqref="N30">
    <cfRule type="expression" dxfId="7" priority="72">
      <formula>$C$30&gt;=10</formula>
    </cfRule>
  </conditionalFormatting>
  <conditionalFormatting sqref="N31">
    <cfRule type="expression" dxfId="6" priority="62">
      <formula>$C$31&gt;=10</formula>
    </cfRule>
  </conditionalFormatting>
  <conditionalFormatting sqref="N32">
    <cfRule type="expression" dxfId="5" priority="52">
      <formula>$C$32&gt;=10</formula>
    </cfRule>
  </conditionalFormatting>
  <conditionalFormatting sqref="N40">
    <cfRule type="expression" dxfId="4" priority="42">
      <formula>$C$40&gt;=10</formula>
    </cfRule>
  </conditionalFormatting>
  <conditionalFormatting sqref="N41">
    <cfRule type="expression" dxfId="3" priority="32">
      <formula>$C$41&gt;=10</formula>
    </cfRule>
  </conditionalFormatting>
  <conditionalFormatting sqref="N42">
    <cfRule type="expression" dxfId="2" priority="22">
      <formula>$C$42&gt;=10</formula>
    </cfRule>
  </conditionalFormatting>
  <conditionalFormatting sqref="N43">
    <cfRule type="expression" dxfId="1" priority="12">
      <formula>$C$43&gt;=10</formula>
    </cfRule>
  </conditionalFormatting>
  <conditionalFormatting sqref="N44">
    <cfRule type="expression" dxfId="0" priority="2">
      <formula>$C$44&gt;=10</formula>
    </cfRule>
  </conditionalFormatting>
  <printOptions horizontalCentered="1" verticalCentered="1"/>
  <pageMargins left="0" right="0" top="0" bottom="0" header="0" footer="0"/>
  <pageSetup paperSize="9" scale="76"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C867EE3-DE7E-4B25-8B20-ADF07385FC0A}">
          <x14:formula1>
            <xm:f>Sheet3!$A:$A</xm:f>
          </x14:formula1>
          <xm:sqref>A6:C7</xm:sqref>
        </x14:dataValidation>
        <x14:dataValidation type="list" allowBlank="1" showInputMessage="1" showErrorMessage="1" xr:uid="{C4417FB5-B15C-47BC-9A9E-ACA3532FF449}">
          <x14:formula1>
            <xm:f>Sheet3!$B$1:$B$3</xm:f>
          </x14:formula1>
          <xm:sqref>A2</xm:sqref>
        </x14:dataValidation>
        <x14:dataValidation type="list" allowBlank="1" showInputMessage="1" showErrorMessage="1" xr:uid="{F1EFB6EB-65DA-4069-B8E9-BDC41C874A66}">
          <x14:formula1>
            <xm:f>Sheet3!$C$1:$C$13</xm:f>
          </x14:formula1>
          <xm:sqref>A3</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94C58-1D39-4369-A07C-7EDF3FEC6ABD}">
  <sheetPr codeName="Sheet12">
    <tabColor theme="0"/>
    <pageSetUpPr fitToPage="1"/>
  </sheetPr>
  <dimension ref="A1:AH44"/>
  <sheetViews>
    <sheetView topLeftCell="A6" zoomScale="101" zoomScaleNormal="40" workbookViewId="0">
      <selection activeCell="F16" sqref="F16"/>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個人シート原本</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199</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9B37D-E7D3-4106-A4BA-DD309186C59C}">
  <sheetPr codeName="Sheet59">
    <tabColor rgb="FFFF0000"/>
    <pageSetUpPr fitToPage="1"/>
  </sheetPr>
  <dimension ref="A1:AH44"/>
  <sheetViews>
    <sheetView zoomScale="40" zoomScaleNormal="40" workbookViewId="0">
      <selection activeCell="AF10" sqref="AF10"/>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臼井結香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51</v>
      </c>
      <c r="E8" s="13" t="s">
        <v>65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59</v>
      </c>
      <c r="E10" s="23" t="s">
        <v>65</v>
      </c>
      <c r="F10" s="23">
        <v>29.6</v>
      </c>
      <c r="G10" s="23">
        <v>0.22700000000000001</v>
      </c>
      <c r="H10" s="23">
        <v>27.1</v>
      </c>
      <c r="I10" s="23">
        <v>1.19</v>
      </c>
      <c r="J10" s="23">
        <v>52</v>
      </c>
      <c r="K10" s="23">
        <v>191</v>
      </c>
      <c r="L10" s="23">
        <v>29.2</v>
      </c>
      <c r="M10" s="23">
        <v>3</v>
      </c>
      <c r="N10" s="23">
        <v>10</v>
      </c>
      <c r="O10" s="23">
        <v>7</v>
      </c>
      <c r="P10" s="23">
        <v>4</v>
      </c>
      <c r="Q10" s="23">
        <v>58</v>
      </c>
      <c r="R10" s="23">
        <v>152</v>
      </c>
      <c r="S10" s="23">
        <v>43</v>
      </c>
      <c r="T10" s="23">
        <v>20.7</v>
      </c>
      <c r="U10" s="108">
        <v>482</v>
      </c>
      <c r="V10" s="23">
        <v>0.87</v>
      </c>
      <c r="W10" s="23">
        <v>6.9</v>
      </c>
      <c r="X10" s="23">
        <v>162</v>
      </c>
      <c r="Y10" s="23">
        <v>186</v>
      </c>
      <c r="Z10" s="23">
        <v>193</v>
      </c>
      <c r="AA10" s="23">
        <v>198</v>
      </c>
      <c r="AB10" s="13">
        <v>7</v>
      </c>
      <c r="AC10" s="13">
        <v>8</v>
      </c>
      <c r="AD10" s="13">
        <v>9</v>
      </c>
      <c r="AE10" s="13">
        <v>10</v>
      </c>
      <c r="AF10" s="14"/>
      <c r="AG10" s="24"/>
    </row>
    <row r="11" spans="1:34" x14ac:dyDescent="0.55000000000000004">
      <c r="A11" s="19">
        <v>2025</v>
      </c>
      <c r="B11" s="20">
        <v>11</v>
      </c>
      <c r="C11" s="106">
        <v>45989</v>
      </c>
      <c r="D11" s="23" t="s">
        <v>59</v>
      </c>
      <c r="E11" s="23" t="s">
        <v>65</v>
      </c>
      <c r="F11" s="23">
        <v>28.4</v>
      </c>
      <c r="G11" s="23">
        <v>0.19900000000000001</v>
      </c>
      <c r="H11" s="23">
        <v>26.2</v>
      </c>
      <c r="I11" s="23">
        <v>1.31</v>
      </c>
      <c r="J11" s="23">
        <v>54</v>
      </c>
      <c r="K11" s="23">
        <v>198</v>
      </c>
      <c r="L11" s="23">
        <v>29</v>
      </c>
      <c r="M11" s="23">
        <v>5</v>
      </c>
      <c r="N11" s="23">
        <v>9</v>
      </c>
      <c r="O11" s="23">
        <v>7</v>
      </c>
      <c r="P11" s="23">
        <v>5</v>
      </c>
      <c r="Q11" s="23">
        <v>42</v>
      </c>
      <c r="R11" s="23">
        <v>151.69999999999999</v>
      </c>
      <c r="S11" s="23">
        <v>45.8</v>
      </c>
      <c r="T11" s="23">
        <v>20.8</v>
      </c>
      <c r="U11" s="108">
        <v>601</v>
      </c>
      <c r="V11" s="23">
        <v>0.92</v>
      </c>
      <c r="W11" s="23">
        <v>6.55</v>
      </c>
      <c r="X11" s="23">
        <v>178</v>
      </c>
      <c r="Y11" s="23">
        <v>196</v>
      </c>
      <c r="Z11" s="23">
        <v>198</v>
      </c>
      <c r="AA11" s="23">
        <v>199</v>
      </c>
      <c r="AB11" s="13">
        <v>7</v>
      </c>
      <c r="AC11" s="13">
        <v>8</v>
      </c>
      <c r="AD11" s="13">
        <v>9</v>
      </c>
      <c r="AE11" s="13">
        <v>10</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59</v>
      </c>
      <c r="E13" s="23" t="s">
        <v>65</v>
      </c>
      <c r="F13" s="23">
        <v>26.3</v>
      </c>
      <c r="G13" s="23">
        <v>0.20499999999999999</v>
      </c>
      <c r="H13" s="23">
        <v>25.3</v>
      </c>
      <c r="I13" s="23">
        <v>1.23</v>
      </c>
      <c r="J13" s="23">
        <v>54</v>
      </c>
      <c r="K13" s="23">
        <v>189</v>
      </c>
      <c r="L13" s="23">
        <v>23.6</v>
      </c>
      <c r="M13" s="23">
        <v>4</v>
      </c>
      <c r="N13" s="23">
        <v>9</v>
      </c>
      <c r="O13" s="23">
        <v>7</v>
      </c>
      <c r="P13" s="23">
        <v>6</v>
      </c>
      <c r="Q13" s="23">
        <v>43</v>
      </c>
      <c r="R13" s="23">
        <v>152.4</v>
      </c>
      <c r="S13" s="23">
        <v>46.7</v>
      </c>
      <c r="T13" s="23">
        <v>20.5</v>
      </c>
      <c r="U13" s="108">
        <v>501</v>
      </c>
      <c r="V13" s="23">
        <v>0.88</v>
      </c>
      <c r="W13" s="23">
        <v>6.43</v>
      </c>
      <c r="X13" s="23">
        <v>174</v>
      </c>
      <c r="Y13" s="23">
        <v>187</v>
      </c>
      <c r="Z13" s="23">
        <v>194</v>
      </c>
      <c r="AA13" s="23">
        <v>199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CE73A-08FB-4849-8411-A7BDA6B19648}">
  <sheetPr codeName="Sheet74">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出井結大</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199</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66</v>
      </c>
      <c r="E13" s="23" t="s">
        <v>52</v>
      </c>
      <c r="F13" s="23">
        <v>16.5</v>
      </c>
      <c r="G13" s="23">
        <v>0.14799999999999999</v>
      </c>
      <c r="H13" s="23">
        <v>10.3</v>
      </c>
      <c r="I13" s="23">
        <v>0.7</v>
      </c>
      <c r="J13" s="23">
        <v>28</v>
      </c>
      <c r="K13" s="23">
        <v>48</v>
      </c>
      <c r="L13" s="23">
        <v>17.5</v>
      </c>
      <c r="M13" s="23">
        <v>5</v>
      </c>
      <c r="N13" s="23">
        <v>7</v>
      </c>
      <c r="O13" s="23">
        <v>2</v>
      </c>
      <c r="P13" s="23">
        <v>1</v>
      </c>
      <c r="Q13" s="23">
        <v>54</v>
      </c>
      <c r="R13" s="23">
        <v>107.1</v>
      </c>
      <c r="S13" s="23">
        <v>17</v>
      </c>
      <c r="T13" s="23">
        <v>15.4</v>
      </c>
      <c r="U13" s="108">
        <v>149</v>
      </c>
      <c r="V13" s="23">
        <v>0.78</v>
      </c>
      <c r="W13" s="23">
        <v>8.1</v>
      </c>
      <c r="X13" s="23">
        <v>164</v>
      </c>
      <c r="Y13" s="23">
        <v>174</v>
      </c>
      <c r="Z13" s="23">
        <v>182</v>
      </c>
      <c r="AA13" s="23">
        <v>188</v>
      </c>
      <c r="AB13" s="13">
        <v>6</v>
      </c>
      <c r="AC13" s="13">
        <v>7</v>
      </c>
      <c r="AD13" s="13">
        <v>8</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79878-6FE0-4CEB-A317-20E6E951BCB1}">
  <sheetPr codeName="Sheet75">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清水稜生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199</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84</v>
      </c>
      <c r="E13" s="23" t="s">
        <v>52</v>
      </c>
      <c r="F13" s="23">
        <v>21.6</v>
      </c>
      <c r="G13" s="23">
        <v>0.192</v>
      </c>
      <c r="H13" s="23">
        <v>15.4</v>
      </c>
      <c r="I13" s="23">
        <v>0.8</v>
      </c>
      <c r="J13" s="23">
        <v>48</v>
      </c>
      <c r="K13" s="23">
        <v>151</v>
      </c>
      <c r="L13" s="23">
        <v>21.7</v>
      </c>
      <c r="M13" s="23">
        <v>5</v>
      </c>
      <c r="N13" s="23">
        <v>9</v>
      </c>
      <c r="O13" s="23">
        <v>1</v>
      </c>
      <c r="P13" s="23">
        <v>4</v>
      </c>
      <c r="Q13" s="23">
        <v>48</v>
      </c>
      <c r="R13" s="23">
        <v>130.30000000000001</v>
      </c>
      <c r="S13" s="23">
        <v>25.2</v>
      </c>
      <c r="T13" s="23">
        <v>18</v>
      </c>
      <c r="U13" s="108">
        <v>478</v>
      </c>
      <c r="V13" s="23">
        <v>0.9</v>
      </c>
      <c r="W13" s="23">
        <v>7.45</v>
      </c>
      <c r="X13" s="23">
        <v>114</v>
      </c>
      <c r="Y13" s="23">
        <v>145</v>
      </c>
      <c r="Z13" s="23">
        <v>154</v>
      </c>
      <c r="AA13" s="23">
        <v>169</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0525B-5907-4F1B-91A9-1B1BB91B6752}">
  <sheetPr codeName="Sheet76">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野澤奏翔</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199</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9E3C7-B6B7-48F8-B591-475023F74E1A}">
  <sheetPr codeName="Sheet77">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野澤朋樹</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199</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F34F2-9EFB-4363-A525-B5A37333D7A1}">
  <sheetPr codeName="Sheet78">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宮本絢菜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112</v>
      </c>
      <c r="B3" s="177"/>
      <c r="C3" s="155" t="s">
        <v>113</v>
      </c>
      <c r="D3" s="9" t="s">
        <v>114</v>
      </c>
      <c r="E3" s="9" t="s">
        <v>115</v>
      </c>
      <c r="F3" s="9" t="s">
        <v>116</v>
      </c>
      <c r="G3" s="9" t="s">
        <v>117</v>
      </c>
      <c r="H3" s="9" t="s">
        <v>118</v>
      </c>
      <c r="I3" s="9" t="s">
        <v>47</v>
      </c>
      <c r="J3" s="9" t="s">
        <v>49</v>
      </c>
      <c r="K3" s="9" t="s">
        <v>119</v>
      </c>
      <c r="L3" s="9" t="s">
        <v>44</v>
      </c>
      <c r="M3" s="9" t="s">
        <v>184</v>
      </c>
      <c r="N3" s="9" t="s">
        <v>185</v>
      </c>
      <c r="O3" s="9" t="s">
        <v>186</v>
      </c>
      <c r="P3" s="9" t="s">
        <v>187</v>
      </c>
      <c r="Q3" s="9" t="s">
        <v>188</v>
      </c>
      <c r="R3" s="9" t="s">
        <v>124</v>
      </c>
      <c r="S3" s="9" t="s">
        <v>125</v>
      </c>
      <c r="T3" s="9" t="s">
        <v>126</v>
      </c>
      <c r="U3" s="9" t="s">
        <v>30</v>
      </c>
      <c r="V3" s="9" t="s">
        <v>127</v>
      </c>
      <c r="W3" s="9" t="s">
        <v>128</v>
      </c>
      <c r="X3" s="9" t="s">
        <v>189</v>
      </c>
      <c r="Y3" s="9" t="s">
        <v>190</v>
      </c>
      <c r="Z3" s="9" t="s">
        <v>191</v>
      </c>
      <c r="AA3" s="9" t="s">
        <v>192</v>
      </c>
      <c r="AB3" s="154" t="s">
        <v>193</v>
      </c>
      <c r="AC3" s="154" t="s">
        <v>194</v>
      </c>
      <c r="AD3" s="154" t="s">
        <v>195</v>
      </c>
      <c r="AE3" s="154" t="s">
        <v>196</v>
      </c>
      <c r="AF3" s="10" t="s">
        <v>129</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199</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72</v>
      </c>
      <c r="E13" s="23" t="s">
        <v>65</v>
      </c>
      <c r="F13" s="23">
        <v>24.2</v>
      </c>
      <c r="G13" s="23">
        <v>0.184</v>
      </c>
      <c r="H13" s="23">
        <v>23.4</v>
      </c>
      <c r="I13" s="23">
        <v>1.27</v>
      </c>
      <c r="J13" s="23">
        <v>52</v>
      </c>
      <c r="K13" s="23">
        <v>174</v>
      </c>
      <c r="L13" s="23">
        <v>24.8</v>
      </c>
      <c r="M13" s="23">
        <v>5</v>
      </c>
      <c r="N13" s="23">
        <v>10</v>
      </c>
      <c r="O13" s="23">
        <v>9</v>
      </c>
      <c r="P13" s="23">
        <v>8</v>
      </c>
      <c r="Q13" s="23">
        <v>42</v>
      </c>
      <c r="R13" s="23">
        <v>143.6</v>
      </c>
      <c r="S13" s="23">
        <v>40.5</v>
      </c>
      <c r="T13" s="23">
        <v>21.1</v>
      </c>
      <c r="U13" s="108">
        <v>607</v>
      </c>
      <c r="V13" s="23">
        <v>0.92</v>
      </c>
      <c r="W13" s="23">
        <v>6.86</v>
      </c>
      <c r="X13" s="23">
        <v>187</v>
      </c>
      <c r="Y13" s="23">
        <v>193</v>
      </c>
      <c r="Z13" s="23">
        <v>198</v>
      </c>
      <c r="AA13" s="23">
        <v>196</v>
      </c>
      <c r="AB13" s="13">
        <v>8</v>
      </c>
      <c r="AC13" s="13">
        <v>9</v>
      </c>
      <c r="AD13" s="13">
        <v>10</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132</v>
      </c>
      <c r="B43">
        <v>20.399999999999999</v>
      </c>
      <c r="C43">
        <v>3.7</v>
      </c>
    </row>
    <row r="44" spans="1:33" x14ac:dyDescent="0.55000000000000004">
      <c r="A44" t="s">
        <v>133</v>
      </c>
      <c r="B44">
        <v>19.3</v>
      </c>
      <c r="C44">
        <v>3.4</v>
      </c>
    </row>
  </sheetData>
  <mergeCells count="1">
    <mergeCell ref="A3:B3"/>
  </mergeCells>
  <phoneticPr fontId="2"/>
  <pageMargins left="0.7" right="0.7" top="0.75" bottom="0.75" header="0.3" footer="0.3"/>
  <pageSetup paperSize="9" scale="13"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19111-2CB7-4F70-9FC3-CC2000ECD82C}">
  <sheetPr codeName="Sheet4">
    <tabColor rgb="FFFF0000"/>
  </sheetPr>
  <dimension ref="A1:R91"/>
  <sheetViews>
    <sheetView topLeftCell="A15" zoomScale="63" workbookViewId="0">
      <selection activeCell="F35" sqref="F3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8" ht="18.5" thickBot="1" x14ac:dyDescent="0.6">
      <c r="A1" s="90" t="s">
        <v>114</v>
      </c>
      <c r="B1" s="90" t="s">
        <v>139</v>
      </c>
      <c r="C1" s="91">
        <v>1</v>
      </c>
      <c r="D1" s="92">
        <v>2</v>
      </c>
      <c r="E1" s="92">
        <v>3</v>
      </c>
      <c r="F1" s="92">
        <v>4</v>
      </c>
      <c r="G1" s="92">
        <v>5</v>
      </c>
      <c r="H1" s="92">
        <v>6</v>
      </c>
      <c r="I1" s="92">
        <v>7</v>
      </c>
      <c r="J1" s="92">
        <v>8</v>
      </c>
      <c r="K1" s="92">
        <v>9</v>
      </c>
      <c r="L1" s="93">
        <v>10</v>
      </c>
    </row>
    <row r="2" spans="1:18" x14ac:dyDescent="0.55000000000000004">
      <c r="A2" s="274" t="s">
        <v>169</v>
      </c>
      <c r="B2" s="94" t="s">
        <v>170</v>
      </c>
      <c r="C2" s="53">
        <v>0.12</v>
      </c>
      <c r="D2" s="55">
        <v>0.13</v>
      </c>
      <c r="E2" s="55">
        <v>0.31</v>
      </c>
      <c r="F2" s="55">
        <v>0.4</v>
      </c>
      <c r="G2" s="55">
        <v>0.49</v>
      </c>
      <c r="H2" s="55">
        <v>0.84</v>
      </c>
      <c r="I2" s="55">
        <v>0.93</v>
      </c>
      <c r="J2" s="55">
        <v>1.02</v>
      </c>
      <c r="K2" s="55">
        <v>1.2</v>
      </c>
      <c r="L2" s="54">
        <v>1.38</v>
      </c>
    </row>
    <row r="3" spans="1:18" x14ac:dyDescent="0.55000000000000004">
      <c r="A3" s="275"/>
      <c r="B3" s="95" t="s">
        <v>171</v>
      </c>
      <c r="C3" s="96">
        <v>99</v>
      </c>
      <c r="D3" s="58">
        <v>100</v>
      </c>
      <c r="E3" s="58">
        <v>110</v>
      </c>
      <c r="F3" s="58">
        <v>115</v>
      </c>
      <c r="G3" s="58">
        <v>120</v>
      </c>
      <c r="H3" s="58">
        <v>139</v>
      </c>
      <c r="I3" s="58">
        <v>144</v>
      </c>
      <c r="J3" s="58">
        <v>149</v>
      </c>
      <c r="K3" s="58">
        <v>159</v>
      </c>
      <c r="L3" s="59">
        <v>169</v>
      </c>
    </row>
    <row r="4" spans="1:18" x14ac:dyDescent="0.55000000000000004">
      <c r="A4" s="275"/>
      <c r="B4" s="95" t="s">
        <v>172</v>
      </c>
      <c r="C4" s="96">
        <v>6.7</v>
      </c>
      <c r="D4" s="58">
        <v>6.8</v>
      </c>
      <c r="E4" s="58">
        <v>9.1999999999999993</v>
      </c>
      <c r="F4" s="58">
        <v>10.4</v>
      </c>
      <c r="G4" s="58">
        <v>11.6</v>
      </c>
      <c r="H4" s="58">
        <v>16.3</v>
      </c>
      <c r="I4" s="58">
        <v>17.5</v>
      </c>
      <c r="J4" s="58">
        <v>18.7</v>
      </c>
      <c r="K4" s="58">
        <v>21.1</v>
      </c>
      <c r="L4" s="59">
        <v>23.5</v>
      </c>
    </row>
    <row r="5" spans="1:18" x14ac:dyDescent="0.55000000000000004">
      <c r="A5" s="275"/>
      <c r="B5" s="95" t="s">
        <v>173</v>
      </c>
      <c r="C5" s="96">
        <v>11</v>
      </c>
      <c r="D5" s="58">
        <v>11.1</v>
      </c>
      <c r="E5" s="58">
        <v>13.6</v>
      </c>
      <c r="F5" s="58">
        <v>14.9</v>
      </c>
      <c r="G5" s="58">
        <v>16.100000000000001</v>
      </c>
      <c r="H5" s="58">
        <v>21</v>
      </c>
      <c r="I5" s="58">
        <v>22.3</v>
      </c>
      <c r="J5" s="58">
        <v>23.5</v>
      </c>
      <c r="K5" s="58">
        <v>26</v>
      </c>
      <c r="L5" s="59">
        <v>28.5</v>
      </c>
    </row>
    <row r="6" spans="1:18" x14ac:dyDescent="0.55000000000000004">
      <c r="A6" s="275"/>
      <c r="B6" s="95" t="s">
        <v>49</v>
      </c>
      <c r="C6" s="96">
        <v>32</v>
      </c>
      <c r="D6" s="58">
        <v>33</v>
      </c>
      <c r="E6" s="58">
        <v>37</v>
      </c>
      <c r="F6" s="58">
        <v>38</v>
      </c>
      <c r="G6" s="58">
        <v>40</v>
      </c>
      <c r="H6" s="58">
        <v>46</v>
      </c>
      <c r="I6" s="58">
        <v>48</v>
      </c>
      <c r="J6" s="58">
        <v>50</v>
      </c>
      <c r="K6" s="58">
        <v>53</v>
      </c>
      <c r="L6" s="59">
        <v>57</v>
      </c>
    </row>
    <row r="7" spans="1:18" x14ac:dyDescent="0.55000000000000004">
      <c r="A7" s="275"/>
      <c r="B7" s="95" t="s">
        <v>126</v>
      </c>
      <c r="C7" s="96">
        <v>11.1</v>
      </c>
      <c r="D7" s="58">
        <v>11.2</v>
      </c>
      <c r="E7" s="58">
        <v>12.4</v>
      </c>
      <c r="F7" s="58">
        <v>13.1</v>
      </c>
      <c r="G7" s="58">
        <v>13.7</v>
      </c>
      <c r="H7" s="58">
        <v>16.100000000000001</v>
      </c>
      <c r="I7" s="58">
        <v>16.7</v>
      </c>
      <c r="J7" s="58">
        <v>17.3</v>
      </c>
      <c r="K7" s="58">
        <v>18.600000000000001</v>
      </c>
      <c r="L7" s="59">
        <v>19.8</v>
      </c>
    </row>
    <row r="8" spans="1:18" x14ac:dyDescent="0.55000000000000004">
      <c r="A8" s="275"/>
      <c r="B8" s="95" t="s">
        <v>127</v>
      </c>
      <c r="C8" s="96">
        <v>0.83</v>
      </c>
      <c r="D8" s="58">
        <v>0.84</v>
      </c>
      <c r="E8" s="58">
        <v>0.86</v>
      </c>
      <c r="F8" s="58">
        <v>0.87</v>
      </c>
      <c r="G8" s="58">
        <v>0.88</v>
      </c>
      <c r="H8" s="58">
        <v>0.91</v>
      </c>
      <c r="I8" s="58">
        <v>0.92</v>
      </c>
      <c r="J8" s="58">
        <v>0.93</v>
      </c>
      <c r="K8" s="58">
        <v>0.95</v>
      </c>
      <c r="L8" s="59">
        <v>0.97</v>
      </c>
    </row>
    <row r="9" spans="1:18" x14ac:dyDescent="0.55000000000000004">
      <c r="A9" s="275"/>
      <c r="B9" s="95" t="s">
        <v>30</v>
      </c>
      <c r="C9" s="96">
        <v>343</v>
      </c>
      <c r="D9" s="58">
        <v>344</v>
      </c>
      <c r="E9" s="58">
        <v>381</v>
      </c>
      <c r="F9" s="58">
        <v>400</v>
      </c>
      <c r="G9" s="58">
        <v>419</v>
      </c>
      <c r="H9" s="58">
        <v>493</v>
      </c>
      <c r="I9" s="58">
        <v>511</v>
      </c>
      <c r="J9" s="58">
        <v>530</v>
      </c>
      <c r="K9" s="58">
        <v>568</v>
      </c>
      <c r="L9" s="59">
        <v>605</v>
      </c>
    </row>
    <row r="10" spans="1:18" ht="18.5" thickBot="1" x14ac:dyDescent="0.6">
      <c r="A10" s="276"/>
      <c r="B10" s="97" t="s">
        <v>174</v>
      </c>
      <c r="C10" s="98">
        <v>65</v>
      </c>
      <c r="D10" s="61">
        <v>63</v>
      </c>
      <c r="E10" s="61">
        <v>62</v>
      </c>
      <c r="F10" s="61">
        <v>60</v>
      </c>
      <c r="G10" s="61">
        <v>56</v>
      </c>
      <c r="H10" s="61">
        <v>55</v>
      </c>
      <c r="I10" s="61">
        <v>54</v>
      </c>
      <c r="J10" s="61">
        <v>53</v>
      </c>
      <c r="K10" s="61">
        <v>52</v>
      </c>
      <c r="L10" s="62">
        <v>51</v>
      </c>
    </row>
    <row r="11" spans="1:18" x14ac:dyDescent="0.55000000000000004">
      <c r="A11" s="274" t="s">
        <v>175</v>
      </c>
      <c r="B11" s="94" t="s">
        <v>170</v>
      </c>
      <c r="C11" s="53">
        <v>0.25</v>
      </c>
      <c r="D11" s="55">
        <v>0.26</v>
      </c>
      <c r="E11" s="55">
        <v>0.44</v>
      </c>
      <c r="F11" s="55">
        <v>0.53</v>
      </c>
      <c r="G11" s="55">
        <v>0.62</v>
      </c>
      <c r="H11" s="55">
        <v>0.97</v>
      </c>
      <c r="I11" s="55">
        <v>1.06</v>
      </c>
      <c r="J11" s="55">
        <v>1.1499999999999999</v>
      </c>
      <c r="K11" s="55">
        <v>1.33</v>
      </c>
      <c r="L11" s="54">
        <v>1.51</v>
      </c>
    </row>
    <row r="12" spans="1:18" x14ac:dyDescent="0.55000000000000004">
      <c r="A12" s="275"/>
      <c r="B12" s="95" t="s">
        <v>171</v>
      </c>
      <c r="C12" s="96">
        <v>102</v>
      </c>
      <c r="D12" s="58">
        <v>103</v>
      </c>
      <c r="E12" s="58">
        <v>113</v>
      </c>
      <c r="F12" s="58">
        <v>118</v>
      </c>
      <c r="G12" s="58">
        <v>123</v>
      </c>
      <c r="H12" s="58">
        <v>142</v>
      </c>
      <c r="I12" s="58">
        <v>147</v>
      </c>
      <c r="J12" s="58">
        <v>152</v>
      </c>
      <c r="K12" s="58">
        <v>162</v>
      </c>
      <c r="L12" s="59">
        <v>172</v>
      </c>
    </row>
    <row r="13" spans="1:18" x14ac:dyDescent="0.55000000000000004">
      <c r="A13" s="275"/>
      <c r="B13" s="95" t="s">
        <v>172</v>
      </c>
      <c r="C13" s="96">
        <v>9.5</v>
      </c>
      <c r="D13" s="58">
        <v>9.6</v>
      </c>
      <c r="E13" s="58">
        <v>12</v>
      </c>
      <c r="F13" s="58">
        <v>13.2</v>
      </c>
      <c r="G13" s="58">
        <v>14.4</v>
      </c>
      <c r="H13" s="58">
        <v>19.100000000000001</v>
      </c>
      <c r="I13" s="58">
        <v>20.3</v>
      </c>
      <c r="J13" s="58">
        <v>21.5</v>
      </c>
      <c r="K13" s="58">
        <v>23.9</v>
      </c>
      <c r="L13" s="59">
        <v>26.3</v>
      </c>
      <c r="R13" s="82">
        <f>52-7</f>
        <v>45</v>
      </c>
    </row>
    <row r="14" spans="1:18" x14ac:dyDescent="0.55000000000000004">
      <c r="A14" s="275"/>
      <c r="B14" s="95" t="s">
        <v>173</v>
      </c>
      <c r="C14" s="96">
        <v>11</v>
      </c>
      <c r="D14" s="58">
        <v>11.1</v>
      </c>
      <c r="E14" s="58">
        <v>13.6</v>
      </c>
      <c r="F14" s="58">
        <v>14.9</v>
      </c>
      <c r="G14" s="58">
        <v>16.100000000000001</v>
      </c>
      <c r="H14" s="58">
        <v>21</v>
      </c>
      <c r="I14" s="58">
        <v>22.3</v>
      </c>
      <c r="J14" s="58">
        <v>23.5</v>
      </c>
      <c r="K14" s="58">
        <v>26</v>
      </c>
      <c r="L14" s="59">
        <v>28.5</v>
      </c>
    </row>
    <row r="15" spans="1:18" x14ac:dyDescent="0.55000000000000004">
      <c r="A15" s="275"/>
      <c r="B15" s="95" t="s">
        <v>49</v>
      </c>
      <c r="C15" s="96">
        <v>35</v>
      </c>
      <c r="D15" s="58">
        <v>36</v>
      </c>
      <c r="E15" s="58">
        <v>40</v>
      </c>
      <c r="F15" s="58">
        <v>41</v>
      </c>
      <c r="G15" s="58">
        <v>43</v>
      </c>
      <c r="H15" s="58">
        <v>49</v>
      </c>
      <c r="I15" s="58">
        <v>51</v>
      </c>
      <c r="J15" s="58">
        <v>53</v>
      </c>
      <c r="K15" s="58">
        <v>56</v>
      </c>
      <c r="L15" s="59">
        <v>60</v>
      </c>
    </row>
    <row r="16" spans="1:18" x14ac:dyDescent="0.55000000000000004">
      <c r="A16" s="275"/>
      <c r="B16" s="95" t="s">
        <v>126</v>
      </c>
      <c r="C16" s="96">
        <v>13.1</v>
      </c>
      <c r="D16" s="58">
        <v>13.2</v>
      </c>
      <c r="E16" s="58">
        <v>14.4</v>
      </c>
      <c r="F16" s="58">
        <v>15</v>
      </c>
      <c r="G16" s="58">
        <v>15.7</v>
      </c>
      <c r="H16" s="58">
        <v>18.100000000000001</v>
      </c>
      <c r="I16" s="58">
        <v>18.7</v>
      </c>
      <c r="J16" s="58">
        <v>19.3</v>
      </c>
      <c r="K16" s="58">
        <v>20.6</v>
      </c>
      <c r="L16" s="59">
        <v>21.8</v>
      </c>
    </row>
    <row r="17" spans="1:12" x14ac:dyDescent="0.55000000000000004">
      <c r="A17" s="275"/>
      <c r="B17" s="95" t="s">
        <v>127</v>
      </c>
      <c r="C17" s="96">
        <v>0.83</v>
      </c>
      <c r="D17" s="58">
        <v>0.84</v>
      </c>
      <c r="E17" s="58">
        <v>0.86</v>
      </c>
      <c r="F17" s="58">
        <v>0.87</v>
      </c>
      <c r="G17" s="58">
        <v>0.88</v>
      </c>
      <c r="H17" s="58">
        <v>0.91</v>
      </c>
      <c r="I17" s="58">
        <v>0.92</v>
      </c>
      <c r="J17" s="58">
        <v>0.93</v>
      </c>
      <c r="K17" s="58">
        <v>0.95</v>
      </c>
      <c r="L17" s="59">
        <v>0.97</v>
      </c>
    </row>
    <row r="18" spans="1:12" x14ac:dyDescent="0.55000000000000004">
      <c r="A18" s="275"/>
      <c r="B18" s="95" t="s">
        <v>30</v>
      </c>
      <c r="C18" s="96">
        <v>372</v>
      </c>
      <c r="D18" s="58">
        <v>373</v>
      </c>
      <c r="E18" s="58">
        <v>411</v>
      </c>
      <c r="F18" s="58">
        <v>430</v>
      </c>
      <c r="G18" s="58">
        <v>448</v>
      </c>
      <c r="H18" s="58">
        <v>522</v>
      </c>
      <c r="I18" s="58">
        <v>541</v>
      </c>
      <c r="J18" s="58">
        <v>560</v>
      </c>
      <c r="K18" s="58">
        <v>597</v>
      </c>
      <c r="L18" s="59">
        <v>635</v>
      </c>
    </row>
    <row r="19" spans="1:12" ht="18.5" thickBot="1" x14ac:dyDescent="0.6">
      <c r="A19" s="276"/>
      <c r="B19" s="97" t="s">
        <v>174</v>
      </c>
      <c r="C19" s="98">
        <v>63</v>
      </c>
      <c r="D19" s="61">
        <v>61</v>
      </c>
      <c r="E19" s="61">
        <v>60</v>
      </c>
      <c r="F19" s="61">
        <v>58</v>
      </c>
      <c r="G19" s="61">
        <v>54</v>
      </c>
      <c r="H19" s="61">
        <v>53</v>
      </c>
      <c r="I19" s="61">
        <v>52</v>
      </c>
      <c r="J19" s="61">
        <v>51</v>
      </c>
      <c r="K19" s="61">
        <v>50</v>
      </c>
      <c r="L19" s="62">
        <v>49</v>
      </c>
    </row>
    <row r="20" spans="1:12" x14ac:dyDescent="0.55000000000000004">
      <c r="A20" s="274" t="s">
        <v>176</v>
      </c>
      <c r="B20" s="94" t="s">
        <v>170</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5"/>
      <c r="B21" s="95" t="s">
        <v>171</v>
      </c>
      <c r="C21" s="96">
        <v>110</v>
      </c>
      <c r="D21" s="58">
        <v>111</v>
      </c>
      <c r="E21" s="58">
        <v>121</v>
      </c>
      <c r="F21" s="58">
        <v>126</v>
      </c>
      <c r="G21" s="58">
        <v>131</v>
      </c>
      <c r="H21" s="58">
        <v>150</v>
      </c>
      <c r="I21" s="58">
        <v>155</v>
      </c>
      <c r="J21" s="58">
        <v>160</v>
      </c>
      <c r="K21" s="58">
        <v>170</v>
      </c>
      <c r="L21" s="59">
        <v>180</v>
      </c>
    </row>
    <row r="22" spans="1:12" x14ac:dyDescent="0.55000000000000004">
      <c r="A22" s="275"/>
      <c r="B22" s="95" t="s">
        <v>172</v>
      </c>
      <c r="C22" s="96">
        <v>12.2</v>
      </c>
      <c r="D22" s="58">
        <v>12.3</v>
      </c>
      <c r="E22" s="58">
        <v>14.7</v>
      </c>
      <c r="F22" s="58">
        <v>15.9</v>
      </c>
      <c r="G22" s="58">
        <v>17.100000000000001</v>
      </c>
      <c r="H22" s="58">
        <v>21.8</v>
      </c>
      <c r="I22" s="58">
        <v>23</v>
      </c>
      <c r="J22" s="58">
        <v>24.2</v>
      </c>
      <c r="K22" s="58">
        <v>26.6</v>
      </c>
      <c r="L22" s="59">
        <v>29</v>
      </c>
    </row>
    <row r="23" spans="1:12" x14ac:dyDescent="0.55000000000000004">
      <c r="A23" s="275"/>
      <c r="B23" s="95" t="s">
        <v>173</v>
      </c>
      <c r="C23" s="96">
        <v>12.2</v>
      </c>
      <c r="D23" s="58">
        <v>12.3</v>
      </c>
      <c r="E23" s="58">
        <v>14.8</v>
      </c>
      <c r="F23" s="58">
        <v>16</v>
      </c>
      <c r="G23" s="58">
        <v>17.3</v>
      </c>
      <c r="H23" s="58">
        <v>22.2</v>
      </c>
      <c r="I23" s="58">
        <v>23.4</v>
      </c>
      <c r="J23" s="58">
        <v>24.7</v>
      </c>
      <c r="K23" s="58">
        <v>27.2</v>
      </c>
      <c r="L23" s="59">
        <v>29.7</v>
      </c>
    </row>
    <row r="24" spans="1:12" x14ac:dyDescent="0.55000000000000004">
      <c r="A24" s="275"/>
      <c r="B24" s="95" t="s">
        <v>49</v>
      </c>
      <c r="C24" s="96">
        <v>38</v>
      </c>
      <c r="D24" s="58">
        <v>39</v>
      </c>
      <c r="E24" s="58">
        <v>42</v>
      </c>
      <c r="F24" s="58">
        <v>44</v>
      </c>
      <c r="G24" s="58">
        <v>46</v>
      </c>
      <c r="H24" s="58">
        <v>52</v>
      </c>
      <c r="I24" s="58">
        <v>54</v>
      </c>
      <c r="J24" s="58">
        <v>55</v>
      </c>
      <c r="K24" s="58">
        <v>59</v>
      </c>
      <c r="L24" s="59">
        <v>62</v>
      </c>
    </row>
    <row r="25" spans="1:12" x14ac:dyDescent="0.55000000000000004">
      <c r="A25" s="275"/>
      <c r="B25" s="95" t="s">
        <v>126</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5"/>
      <c r="B26" s="95" t="s">
        <v>127</v>
      </c>
      <c r="C26" s="96">
        <v>0.83</v>
      </c>
      <c r="D26" s="58">
        <v>0.84</v>
      </c>
      <c r="E26" s="58">
        <v>0.86</v>
      </c>
      <c r="F26" s="58">
        <v>0.87</v>
      </c>
      <c r="G26" s="58">
        <v>0.88</v>
      </c>
      <c r="H26" s="58">
        <v>0.91</v>
      </c>
      <c r="I26" s="58">
        <v>0.92</v>
      </c>
      <c r="J26" s="58">
        <v>0.93</v>
      </c>
      <c r="K26" s="58">
        <v>0.95</v>
      </c>
      <c r="L26" s="59">
        <v>0.97</v>
      </c>
    </row>
    <row r="27" spans="1:12" x14ac:dyDescent="0.55000000000000004">
      <c r="A27" s="275"/>
      <c r="B27" s="95" t="s">
        <v>30</v>
      </c>
      <c r="C27" s="96">
        <v>401</v>
      </c>
      <c r="D27" s="58">
        <v>402</v>
      </c>
      <c r="E27" s="58">
        <v>439</v>
      </c>
      <c r="F27" s="58">
        <v>458</v>
      </c>
      <c r="G27" s="58">
        <v>477</v>
      </c>
      <c r="H27" s="58">
        <v>551</v>
      </c>
      <c r="I27" s="58">
        <v>569</v>
      </c>
      <c r="J27" s="58">
        <v>588</v>
      </c>
      <c r="K27" s="58">
        <v>626</v>
      </c>
      <c r="L27" s="59">
        <v>663</v>
      </c>
    </row>
    <row r="28" spans="1:12" ht="18.5" thickBot="1" x14ac:dyDescent="0.6">
      <c r="A28" s="276"/>
      <c r="B28" s="97" t="s">
        <v>174</v>
      </c>
      <c r="C28" s="98">
        <v>62</v>
      </c>
      <c r="D28" s="61">
        <v>60</v>
      </c>
      <c r="E28" s="61">
        <v>59</v>
      </c>
      <c r="F28" s="61">
        <v>57</v>
      </c>
      <c r="G28" s="61">
        <v>53</v>
      </c>
      <c r="H28" s="61">
        <v>52</v>
      </c>
      <c r="I28" s="61">
        <v>51</v>
      </c>
      <c r="J28" s="61">
        <v>50</v>
      </c>
      <c r="K28" s="61">
        <v>49</v>
      </c>
      <c r="L28" s="62">
        <v>48</v>
      </c>
    </row>
    <row r="29" spans="1:12" x14ac:dyDescent="0.55000000000000004">
      <c r="A29" s="277" t="s">
        <v>177</v>
      </c>
      <c r="B29" s="99" t="s">
        <v>170</v>
      </c>
      <c r="C29" s="60">
        <v>0.51</v>
      </c>
      <c r="D29" s="57">
        <v>0.52</v>
      </c>
      <c r="E29" s="57">
        <v>0.7</v>
      </c>
      <c r="F29" s="57">
        <v>0.79</v>
      </c>
      <c r="G29" s="57">
        <v>0.88</v>
      </c>
      <c r="H29" s="57">
        <v>1.23</v>
      </c>
      <c r="I29" s="57">
        <v>1.32</v>
      </c>
      <c r="J29" s="57">
        <v>1.41</v>
      </c>
      <c r="K29" s="57">
        <v>1.59</v>
      </c>
      <c r="L29" s="100">
        <v>1.77</v>
      </c>
    </row>
    <row r="30" spans="1:12" x14ac:dyDescent="0.55000000000000004">
      <c r="A30" s="275"/>
      <c r="B30" s="95" t="s">
        <v>171</v>
      </c>
      <c r="C30" s="96">
        <v>121</v>
      </c>
      <c r="D30" s="58">
        <v>122</v>
      </c>
      <c r="E30" s="58">
        <v>132</v>
      </c>
      <c r="F30" s="58">
        <v>137</v>
      </c>
      <c r="G30" s="58">
        <v>142</v>
      </c>
      <c r="H30" s="58">
        <v>161</v>
      </c>
      <c r="I30" s="58">
        <v>166</v>
      </c>
      <c r="J30" s="58">
        <v>171</v>
      </c>
      <c r="K30" s="58">
        <v>181</v>
      </c>
      <c r="L30" s="59">
        <v>191</v>
      </c>
    </row>
    <row r="31" spans="1:12" x14ac:dyDescent="0.55000000000000004">
      <c r="A31" s="275"/>
      <c r="B31" s="95" t="s">
        <v>172</v>
      </c>
      <c r="C31" s="96">
        <v>14.7</v>
      </c>
      <c r="D31" s="58">
        <v>14.8</v>
      </c>
      <c r="E31" s="58">
        <v>17.2</v>
      </c>
      <c r="F31" s="58">
        <v>18.399999999999999</v>
      </c>
      <c r="G31" s="58">
        <v>19.600000000000001</v>
      </c>
      <c r="H31" s="58">
        <v>24.3</v>
      </c>
      <c r="I31" s="58">
        <v>25.5</v>
      </c>
      <c r="J31" s="58">
        <v>26.7</v>
      </c>
      <c r="K31" s="58">
        <v>29.1</v>
      </c>
      <c r="L31" s="59">
        <v>31.5</v>
      </c>
    </row>
    <row r="32" spans="1:12" x14ac:dyDescent="0.55000000000000004">
      <c r="A32" s="275"/>
      <c r="B32" s="95" t="s">
        <v>173</v>
      </c>
      <c r="C32" s="96">
        <v>14.3</v>
      </c>
      <c r="D32" s="58">
        <v>14.4</v>
      </c>
      <c r="E32" s="58">
        <v>16.899999999999999</v>
      </c>
      <c r="F32" s="58">
        <v>18.100000000000001</v>
      </c>
      <c r="G32" s="58">
        <v>19.399999999999999</v>
      </c>
      <c r="H32" s="58">
        <v>24.3</v>
      </c>
      <c r="I32" s="58">
        <v>25.5</v>
      </c>
      <c r="J32" s="58">
        <v>26.8</v>
      </c>
      <c r="K32" s="58">
        <v>29.3</v>
      </c>
      <c r="L32" s="59">
        <v>31.8</v>
      </c>
    </row>
    <row r="33" spans="1:12" x14ac:dyDescent="0.55000000000000004">
      <c r="A33" s="275"/>
      <c r="B33" s="95" t="s">
        <v>49</v>
      </c>
      <c r="C33" s="96">
        <v>40</v>
      </c>
      <c r="D33" s="58">
        <v>41</v>
      </c>
      <c r="E33" s="58">
        <v>45</v>
      </c>
      <c r="F33" s="58">
        <v>46</v>
      </c>
      <c r="G33" s="58">
        <v>48</v>
      </c>
      <c r="H33" s="58">
        <v>54</v>
      </c>
      <c r="I33" s="58">
        <v>56</v>
      </c>
      <c r="J33" s="58">
        <v>58</v>
      </c>
      <c r="K33" s="58">
        <v>61</v>
      </c>
      <c r="L33" s="59">
        <v>65</v>
      </c>
    </row>
    <row r="34" spans="1:12" x14ac:dyDescent="0.55000000000000004">
      <c r="A34" s="275"/>
      <c r="B34" s="95" t="s">
        <v>126</v>
      </c>
      <c r="C34" s="96">
        <v>16.5</v>
      </c>
      <c r="D34" s="58">
        <v>16.600000000000001</v>
      </c>
      <c r="E34" s="58">
        <v>17.8</v>
      </c>
      <c r="F34" s="58">
        <v>18.5</v>
      </c>
      <c r="G34" s="58">
        <v>19.100000000000001</v>
      </c>
      <c r="H34" s="58">
        <v>21.5</v>
      </c>
      <c r="I34" s="58">
        <v>22.1</v>
      </c>
      <c r="J34" s="58">
        <v>22.7</v>
      </c>
      <c r="K34" s="58">
        <v>24</v>
      </c>
      <c r="L34" s="59">
        <v>25.2</v>
      </c>
    </row>
    <row r="35" spans="1:12" x14ac:dyDescent="0.55000000000000004">
      <c r="A35" s="275"/>
      <c r="B35" s="95" t="s">
        <v>127</v>
      </c>
      <c r="C35" s="96">
        <v>0.84</v>
      </c>
      <c r="D35" s="58">
        <v>0.85</v>
      </c>
      <c r="E35" s="58">
        <v>0.87</v>
      </c>
      <c r="F35" s="58">
        <v>0.88</v>
      </c>
      <c r="G35" s="58">
        <v>0.89</v>
      </c>
      <c r="H35" s="58">
        <v>0.92</v>
      </c>
      <c r="I35" s="58">
        <v>0.93</v>
      </c>
      <c r="J35" s="58">
        <v>0.94</v>
      </c>
      <c r="K35" s="58">
        <v>0.96</v>
      </c>
      <c r="L35" s="59">
        <v>0.98</v>
      </c>
    </row>
    <row r="36" spans="1:12" x14ac:dyDescent="0.55000000000000004">
      <c r="A36" s="275"/>
      <c r="B36" s="95" t="s">
        <v>30</v>
      </c>
      <c r="C36" s="96">
        <v>427</v>
      </c>
      <c r="D36" s="58">
        <v>428</v>
      </c>
      <c r="E36" s="58">
        <v>466</v>
      </c>
      <c r="F36" s="58">
        <v>484</v>
      </c>
      <c r="G36" s="58">
        <v>503</v>
      </c>
      <c r="H36" s="58">
        <v>577</v>
      </c>
      <c r="I36" s="58">
        <v>596</v>
      </c>
      <c r="J36" s="58">
        <v>615</v>
      </c>
      <c r="K36" s="58">
        <v>652</v>
      </c>
      <c r="L36" s="59">
        <v>690</v>
      </c>
    </row>
    <row r="37" spans="1:12" ht="18.5" thickBot="1" x14ac:dyDescent="0.6">
      <c r="A37" s="278"/>
      <c r="B37" s="101" t="s">
        <v>174</v>
      </c>
      <c r="C37" s="102">
        <v>60</v>
      </c>
      <c r="D37" s="103">
        <v>58</v>
      </c>
      <c r="E37" s="103">
        <v>57</v>
      </c>
      <c r="F37" s="103">
        <v>55</v>
      </c>
      <c r="G37" s="103">
        <v>51</v>
      </c>
      <c r="H37" s="103">
        <v>50</v>
      </c>
      <c r="I37" s="103">
        <v>49</v>
      </c>
      <c r="J37" s="103">
        <v>48</v>
      </c>
      <c r="K37" s="103">
        <v>47</v>
      </c>
      <c r="L37" s="104">
        <v>46</v>
      </c>
    </row>
    <row r="38" spans="1:12" x14ac:dyDescent="0.55000000000000004">
      <c r="A38" s="274" t="s">
        <v>178</v>
      </c>
      <c r="B38" s="94" t="s">
        <v>170</v>
      </c>
      <c r="C38" s="53">
        <v>0.62</v>
      </c>
      <c r="D38" s="55">
        <v>0.63</v>
      </c>
      <c r="E38" s="55">
        <v>0.81</v>
      </c>
      <c r="F38" s="55">
        <v>0.9</v>
      </c>
      <c r="G38" s="55">
        <v>0.99</v>
      </c>
      <c r="H38" s="55">
        <v>1.34</v>
      </c>
      <c r="I38" s="55">
        <v>1.43</v>
      </c>
      <c r="J38" s="55">
        <v>1.52</v>
      </c>
      <c r="K38" s="55">
        <v>1.7</v>
      </c>
      <c r="L38" s="54">
        <v>1.88</v>
      </c>
    </row>
    <row r="39" spans="1:12" x14ac:dyDescent="0.55000000000000004">
      <c r="A39" s="275"/>
      <c r="B39" s="95" t="s">
        <v>171</v>
      </c>
      <c r="C39" s="96">
        <v>133</v>
      </c>
      <c r="D39" s="58">
        <v>134</v>
      </c>
      <c r="E39" s="58">
        <v>144</v>
      </c>
      <c r="F39" s="58">
        <v>149</v>
      </c>
      <c r="G39" s="58">
        <v>154</v>
      </c>
      <c r="H39" s="58">
        <v>173</v>
      </c>
      <c r="I39" s="58">
        <v>178</v>
      </c>
      <c r="J39" s="58">
        <v>183</v>
      </c>
      <c r="K39" s="58">
        <v>193</v>
      </c>
      <c r="L39" s="59">
        <v>203</v>
      </c>
    </row>
    <row r="40" spans="1:12" x14ac:dyDescent="0.55000000000000004">
      <c r="A40" s="275"/>
      <c r="B40" s="95" t="s">
        <v>172</v>
      </c>
      <c r="C40" s="96">
        <v>17</v>
      </c>
      <c r="D40" s="58">
        <v>17.100000000000001</v>
      </c>
      <c r="E40" s="58">
        <v>19.5</v>
      </c>
      <c r="F40" s="58">
        <v>20.7</v>
      </c>
      <c r="G40" s="58">
        <v>21.9</v>
      </c>
      <c r="H40" s="58">
        <v>26.6</v>
      </c>
      <c r="I40" s="58">
        <v>27.8</v>
      </c>
      <c r="J40" s="58">
        <v>29</v>
      </c>
      <c r="K40" s="58">
        <v>31.4</v>
      </c>
      <c r="L40" s="59">
        <v>33.799999999999997</v>
      </c>
    </row>
    <row r="41" spans="1:12" x14ac:dyDescent="0.55000000000000004">
      <c r="A41" s="275"/>
      <c r="B41" s="95" t="s">
        <v>173</v>
      </c>
      <c r="C41" s="96">
        <v>16.899999999999999</v>
      </c>
      <c r="D41" s="58">
        <v>17</v>
      </c>
      <c r="E41" s="58">
        <v>19.5</v>
      </c>
      <c r="F41" s="58">
        <v>20.8</v>
      </c>
      <c r="G41" s="58">
        <v>22</v>
      </c>
      <c r="H41" s="58">
        <v>26.9</v>
      </c>
      <c r="I41" s="58">
        <v>28.2</v>
      </c>
      <c r="J41" s="58">
        <v>29.4</v>
      </c>
      <c r="K41" s="58">
        <v>31.9</v>
      </c>
      <c r="L41" s="59">
        <v>34.4</v>
      </c>
    </row>
    <row r="42" spans="1:12" x14ac:dyDescent="0.55000000000000004">
      <c r="A42" s="275"/>
      <c r="B42" s="95" t="s">
        <v>49</v>
      </c>
      <c r="C42" s="96">
        <v>42</v>
      </c>
      <c r="D42" s="58">
        <v>43</v>
      </c>
      <c r="E42" s="58">
        <v>47</v>
      </c>
      <c r="F42" s="58">
        <v>49</v>
      </c>
      <c r="G42" s="58">
        <v>50</v>
      </c>
      <c r="H42" s="58">
        <v>56</v>
      </c>
      <c r="I42" s="58">
        <v>58</v>
      </c>
      <c r="J42" s="58">
        <v>60</v>
      </c>
      <c r="K42" s="58">
        <v>63</v>
      </c>
      <c r="L42" s="59">
        <v>67</v>
      </c>
    </row>
    <row r="43" spans="1:12" x14ac:dyDescent="0.55000000000000004">
      <c r="A43" s="275"/>
      <c r="B43" s="95" t="s">
        <v>126</v>
      </c>
      <c r="C43" s="96">
        <v>17.899999999999999</v>
      </c>
      <c r="D43" s="58">
        <v>18</v>
      </c>
      <c r="E43" s="58">
        <v>19.3</v>
      </c>
      <c r="F43" s="58">
        <v>19.899999999999999</v>
      </c>
      <c r="G43" s="58">
        <v>20.5</v>
      </c>
      <c r="H43" s="58">
        <v>22.9</v>
      </c>
      <c r="I43" s="58">
        <v>23.6</v>
      </c>
      <c r="J43" s="58">
        <v>24.2</v>
      </c>
      <c r="K43" s="58">
        <v>25.4</v>
      </c>
      <c r="L43" s="59">
        <v>26.7</v>
      </c>
    </row>
    <row r="44" spans="1:12" x14ac:dyDescent="0.55000000000000004">
      <c r="A44" s="275"/>
      <c r="B44" s="95" t="s">
        <v>127</v>
      </c>
      <c r="C44" s="96">
        <v>0.84</v>
      </c>
      <c r="D44" s="58">
        <v>0.85</v>
      </c>
      <c r="E44" s="58">
        <v>0.87</v>
      </c>
      <c r="F44" s="58">
        <v>0.88</v>
      </c>
      <c r="G44" s="58">
        <v>0.89</v>
      </c>
      <c r="H44" s="58">
        <v>0.92</v>
      </c>
      <c r="I44" s="58">
        <v>0.93</v>
      </c>
      <c r="J44" s="58">
        <v>0.94</v>
      </c>
      <c r="K44" s="58">
        <v>0.96</v>
      </c>
      <c r="L44" s="59">
        <v>0.98</v>
      </c>
    </row>
    <row r="45" spans="1:12" x14ac:dyDescent="0.55000000000000004">
      <c r="A45" s="275"/>
      <c r="B45" s="95" t="s">
        <v>30</v>
      </c>
      <c r="C45" s="96">
        <v>452</v>
      </c>
      <c r="D45" s="58">
        <v>453</v>
      </c>
      <c r="E45" s="58">
        <v>491</v>
      </c>
      <c r="F45" s="58">
        <v>509</v>
      </c>
      <c r="G45" s="58">
        <v>528</v>
      </c>
      <c r="H45" s="58">
        <v>602</v>
      </c>
      <c r="I45" s="58">
        <v>621</v>
      </c>
      <c r="J45" s="58">
        <v>640</v>
      </c>
      <c r="K45" s="58">
        <v>677</v>
      </c>
      <c r="L45" s="59">
        <v>715</v>
      </c>
    </row>
    <row r="46" spans="1:12" ht="18.5" thickBot="1" x14ac:dyDescent="0.6">
      <c r="A46" s="276"/>
      <c r="B46" s="97" t="s">
        <v>174</v>
      </c>
      <c r="C46" s="98">
        <v>59</v>
      </c>
      <c r="D46" s="61">
        <v>57</v>
      </c>
      <c r="E46" s="61">
        <v>56</v>
      </c>
      <c r="F46" s="61">
        <v>54</v>
      </c>
      <c r="G46" s="61">
        <v>50</v>
      </c>
      <c r="H46" s="61">
        <v>49</v>
      </c>
      <c r="I46" s="61">
        <v>48</v>
      </c>
      <c r="J46" s="61">
        <v>47</v>
      </c>
      <c r="K46" s="61">
        <v>46</v>
      </c>
      <c r="L46" s="62">
        <v>45</v>
      </c>
    </row>
    <row r="47" spans="1:12" x14ac:dyDescent="0.55000000000000004">
      <c r="A47" s="277" t="s">
        <v>179</v>
      </c>
      <c r="B47" s="99" t="s">
        <v>170</v>
      </c>
      <c r="C47" s="60">
        <v>0.73</v>
      </c>
      <c r="D47" s="57">
        <v>0.74</v>
      </c>
      <c r="E47" s="57">
        <v>0.92</v>
      </c>
      <c r="F47" s="57">
        <v>1.01</v>
      </c>
      <c r="G47" s="57">
        <v>1.1000000000000001</v>
      </c>
      <c r="H47" s="57">
        <v>1.45</v>
      </c>
      <c r="I47" s="57">
        <v>1.54</v>
      </c>
      <c r="J47" s="57">
        <v>1.63</v>
      </c>
      <c r="K47" s="57">
        <v>1.81</v>
      </c>
      <c r="L47" s="100">
        <v>1.99</v>
      </c>
    </row>
    <row r="48" spans="1:12" x14ac:dyDescent="0.55000000000000004">
      <c r="A48" s="275"/>
      <c r="B48" s="95" t="s">
        <v>171</v>
      </c>
      <c r="C48" s="96">
        <v>147</v>
      </c>
      <c r="D48" s="58">
        <v>148</v>
      </c>
      <c r="E48" s="58">
        <v>158</v>
      </c>
      <c r="F48" s="58">
        <v>163</v>
      </c>
      <c r="G48" s="58">
        <v>168</v>
      </c>
      <c r="H48" s="58">
        <v>187</v>
      </c>
      <c r="I48" s="58">
        <v>192</v>
      </c>
      <c r="J48" s="58">
        <v>197</v>
      </c>
      <c r="K48" s="58">
        <v>207</v>
      </c>
      <c r="L48" s="59">
        <v>217</v>
      </c>
    </row>
    <row r="49" spans="1:12" x14ac:dyDescent="0.55000000000000004">
      <c r="A49" s="275"/>
      <c r="B49" s="95" t="s">
        <v>172</v>
      </c>
      <c r="C49" s="96">
        <v>19.100000000000001</v>
      </c>
      <c r="D49" s="58">
        <v>19.2</v>
      </c>
      <c r="E49" s="58">
        <v>21.6</v>
      </c>
      <c r="F49" s="58">
        <v>22.8</v>
      </c>
      <c r="G49" s="58">
        <v>24</v>
      </c>
      <c r="H49" s="58">
        <v>28.7</v>
      </c>
      <c r="I49" s="58">
        <v>29.9</v>
      </c>
      <c r="J49" s="58">
        <v>31.1</v>
      </c>
      <c r="K49" s="58">
        <v>33.5</v>
      </c>
      <c r="L49" s="59">
        <v>35.9</v>
      </c>
    </row>
    <row r="50" spans="1:12" x14ac:dyDescent="0.55000000000000004">
      <c r="A50" s="275"/>
      <c r="B50" s="95" t="s">
        <v>173</v>
      </c>
      <c r="C50" s="96">
        <v>19.8</v>
      </c>
      <c r="D50" s="58">
        <v>19.899999999999999</v>
      </c>
      <c r="E50" s="58">
        <v>22.4</v>
      </c>
      <c r="F50" s="58">
        <v>23.7</v>
      </c>
      <c r="G50" s="58">
        <v>24.9</v>
      </c>
      <c r="H50" s="58">
        <v>29.8</v>
      </c>
      <c r="I50" s="58">
        <v>31.1</v>
      </c>
      <c r="J50" s="58">
        <v>32.299999999999997</v>
      </c>
      <c r="K50" s="58">
        <v>34.799999999999997</v>
      </c>
      <c r="L50" s="59">
        <v>37.299999999999997</v>
      </c>
    </row>
    <row r="51" spans="1:12" x14ac:dyDescent="0.55000000000000004">
      <c r="A51" s="275"/>
      <c r="B51" s="95" t="s">
        <v>49</v>
      </c>
      <c r="C51" s="96">
        <v>44</v>
      </c>
      <c r="D51" s="58">
        <v>45</v>
      </c>
      <c r="E51" s="58">
        <v>49</v>
      </c>
      <c r="F51" s="58">
        <v>50</v>
      </c>
      <c r="G51" s="58">
        <v>52</v>
      </c>
      <c r="H51" s="58">
        <v>58</v>
      </c>
      <c r="I51" s="58">
        <v>60</v>
      </c>
      <c r="J51" s="58">
        <v>62</v>
      </c>
      <c r="K51" s="58">
        <v>65</v>
      </c>
      <c r="L51" s="59">
        <v>69</v>
      </c>
    </row>
    <row r="52" spans="1:12" x14ac:dyDescent="0.55000000000000004">
      <c r="A52" s="275"/>
      <c r="B52" s="95" t="s">
        <v>126</v>
      </c>
      <c r="C52" s="96">
        <v>19.2</v>
      </c>
      <c r="D52" s="58">
        <v>19.3</v>
      </c>
      <c r="E52" s="58">
        <v>20.6</v>
      </c>
      <c r="F52" s="58">
        <v>21.2</v>
      </c>
      <c r="G52" s="58">
        <v>21.8</v>
      </c>
      <c r="H52" s="58">
        <v>24.2</v>
      </c>
      <c r="I52" s="58">
        <v>24.9</v>
      </c>
      <c r="J52" s="58">
        <v>25.5</v>
      </c>
      <c r="K52" s="58">
        <v>26.7</v>
      </c>
      <c r="L52" s="59">
        <v>28</v>
      </c>
    </row>
    <row r="53" spans="1:12" x14ac:dyDescent="0.55000000000000004">
      <c r="A53" s="275"/>
      <c r="B53" s="95" t="s">
        <v>127</v>
      </c>
      <c r="C53" s="96">
        <v>0.84</v>
      </c>
      <c r="D53" s="58">
        <v>0.85</v>
      </c>
      <c r="E53" s="58">
        <v>0.87</v>
      </c>
      <c r="F53" s="58">
        <v>0.88</v>
      </c>
      <c r="G53" s="58">
        <v>0.89</v>
      </c>
      <c r="H53" s="58">
        <v>0.92</v>
      </c>
      <c r="I53" s="58">
        <v>0.93</v>
      </c>
      <c r="J53" s="58">
        <v>0.94</v>
      </c>
      <c r="K53" s="58">
        <v>0.96</v>
      </c>
      <c r="L53" s="59">
        <v>0.98</v>
      </c>
    </row>
    <row r="54" spans="1:12" x14ac:dyDescent="0.55000000000000004">
      <c r="A54" s="275"/>
      <c r="B54" s="95" t="s">
        <v>30</v>
      </c>
      <c r="C54" s="96">
        <v>475</v>
      </c>
      <c r="D54" s="58">
        <v>476</v>
      </c>
      <c r="E54" s="58">
        <v>514</v>
      </c>
      <c r="F54" s="58">
        <v>533</v>
      </c>
      <c r="G54" s="58">
        <v>551</v>
      </c>
      <c r="H54" s="58">
        <v>625</v>
      </c>
      <c r="I54" s="58">
        <v>644</v>
      </c>
      <c r="J54" s="58">
        <v>663</v>
      </c>
      <c r="K54" s="58">
        <v>700</v>
      </c>
      <c r="L54" s="59">
        <v>738</v>
      </c>
    </row>
    <row r="55" spans="1:12" ht="18.5" thickBot="1" x14ac:dyDescent="0.6">
      <c r="A55" s="278"/>
      <c r="B55" s="101" t="s">
        <v>174</v>
      </c>
      <c r="C55" s="102">
        <v>57</v>
      </c>
      <c r="D55" s="103">
        <v>55</v>
      </c>
      <c r="E55" s="103">
        <v>54</v>
      </c>
      <c r="F55" s="103">
        <v>52</v>
      </c>
      <c r="G55" s="103">
        <v>48</v>
      </c>
      <c r="H55" s="103">
        <v>47</v>
      </c>
      <c r="I55" s="103">
        <v>46</v>
      </c>
      <c r="J55" s="103">
        <v>45</v>
      </c>
      <c r="K55" s="103">
        <v>44</v>
      </c>
      <c r="L55" s="104">
        <v>43</v>
      </c>
    </row>
    <row r="56" spans="1:12" x14ac:dyDescent="0.55000000000000004">
      <c r="A56" s="274" t="s">
        <v>180</v>
      </c>
      <c r="B56" s="94" t="s">
        <v>170</v>
      </c>
      <c r="C56" s="53">
        <v>0.82</v>
      </c>
      <c r="D56" s="55">
        <v>0.83</v>
      </c>
      <c r="E56" s="55">
        <v>1.01</v>
      </c>
      <c r="F56" s="55">
        <v>1.1000000000000001</v>
      </c>
      <c r="G56" s="55">
        <v>1.19</v>
      </c>
      <c r="H56" s="55">
        <v>1.54</v>
      </c>
      <c r="I56" s="55">
        <v>1.63</v>
      </c>
      <c r="J56" s="55">
        <v>1.72</v>
      </c>
      <c r="K56" s="55">
        <v>1.9</v>
      </c>
      <c r="L56" s="54">
        <v>2.08</v>
      </c>
    </row>
    <row r="57" spans="1:12" x14ac:dyDescent="0.55000000000000004">
      <c r="A57" s="275"/>
      <c r="B57" s="95" t="s">
        <v>171</v>
      </c>
      <c r="C57" s="96">
        <v>160</v>
      </c>
      <c r="D57" s="58">
        <v>161</v>
      </c>
      <c r="E57" s="58">
        <v>171</v>
      </c>
      <c r="F57" s="58">
        <v>176</v>
      </c>
      <c r="G57" s="58">
        <v>181</v>
      </c>
      <c r="H57" s="58">
        <v>200</v>
      </c>
      <c r="I57" s="58">
        <v>205</v>
      </c>
      <c r="J57" s="58">
        <v>210</v>
      </c>
      <c r="K57" s="58">
        <v>220</v>
      </c>
      <c r="L57" s="59">
        <v>230</v>
      </c>
    </row>
    <row r="58" spans="1:12" x14ac:dyDescent="0.55000000000000004">
      <c r="A58" s="275"/>
      <c r="B58" s="95" t="s">
        <v>172</v>
      </c>
      <c r="C58" s="96">
        <v>21.1</v>
      </c>
      <c r="D58" s="58">
        <v>21.2</v>
      </c>
      <c r="E58" s="58">
        <v>23.6</v>
      </c>
      <c r="F58" s="58">
        <v>24.8</v>
      </c>
      <c r="G58" s="58">
        <v>26</v>
      </c>
      <c r="H58" s="58">
        <v>30.7</v>
      </c>
      <c r="I58" s="58">
        <v>31.9</v>
      </c>
      <c r="J58" s="58">
        <v>33.1</v>
      </c>
      <c r="K58" s="58">
        <v>35.5</v>
      </c>
      <c r="L58" s="59">
        <v>37.9</v>
      </c>
    </row>
    <row r="59" spans="1:12" x14ac:dyDescent="0.55000000000000004">
      <c r="A59" s="275"/>
      <c r="B59" s="95" t="s">
        <v>173</v>
      </c>
      <c r="C59" s="96">
        <v>22.8</v>
      </c>
      <c r="D59" s="58">
        <v>22.9</v>
      </c>
      <c r="E59" s="58">
        <v>25.4</v>
      </c>
      <c r="F59" s="58">
        <v>26.6</v>
      </c>
      <c r="G59" s="58">
        <v>27.9</v>
      </c>
      <c r="H59" s="58">
        <v>32.799999999999997</v>
      </c>
      <c r="I59" s="58">
        <v>34</v>
      </c>
      <c r="J59" s="58">
        <v>35.299999999999997</v>
      </c>
      <c r="K59" s="58">
        <v>37.799999999999997</v>
      </c>
      <c r="L59" s="59">
        <v>40.299999999999997</v>
      </c>
    </row>
    <row r="60" spans="1:12" x14ac:dyDescent="0.55000000000000004">
      <c r="A60" s="275"/>
      <c r="B60" s="95" t="s">
        <v>49</v>
      </c>
      <c r="C60" s="96">
        <v>46</v>
      </c>
      <c r="D60" s="58">
        <v>47</v>
      </c>
      <c r="E60" s="58">
        <v>50</v>
      </c>
      <c r="F60" s="58">
        <v>52</v>
      </c>
      <c r="G60" s="58">
        <v>54</v>
      </c>
      <c r="H60" s="58">
        <v>60</v>
      </c>
      <c r="I60" s="58">
        <v>61</v>
      </c>
      <c r="J60" s="58">
        <v>63</v>
      </c>
      <c r="K60" s="58">
        <v>67</v>
      </c>
      <c r="L60" s="59">
        <v>70</v>
      </c>
    </row>
    <row r="61" spans="1:12" x14ac:dyDescent="0.55000000000000004">
      <c r="A61" s="275"/>
      <c r="B61" s="95" t="s">
        <v>126</v>
      </c>
      <c r="C61" s="96">
        <v>20.399999999999999</v>
      </c>
      <c r="D61" s="58">
        <v>20.5</v>
      </c>
      <c r="E61" s="58">
        <v>21.7</v>
      </c>
      <c r="F61" s="58">
        <v>22.3</v>
      </c>
      <c r="G61" s="58">
        <v>23</v>
      </c>
      <c r="H61" s="58">
        <v>25.4</v>
      </c>
      <c r="I61" s="58">
        <v>26</v>
      </c>
      <c r="J61" s="58">
        <v>26.6</v>
      </c>
      <c r="K61" s="58">
        <v>27.9</v>
      </c>
      <c r="L61" s="59">
        <v>29.1</v>
      </c>
    </row>
    <row r="62" spans="1:12" x14ac:dyDescent="0.55000000000000004">
      <c r="A62" s="275"/>
      <c r="B62" s="95" t="s">
        <v>127</v>
      </c>
      <c r="C62" s="96">
        <v>0.84</v>
      </c>
      <c r="D62" s="58">
        <v>0.85</v>
      </c>
      <c r="E62" s="58">
        <v>0.87</v>
      </c>
      <c r="F62" s="58">
        <v>0.88</v>
      </c>
      <c r="G62" s="58">
        <v>0.89</v>
      </c>
      <c r="H62" s="58">
        <v>0.92</v>
      </c>
      <c r="I62" s="58">
        <v>0.93</v>
      </c>
      <c r="J62" s="58">
        <v>0.94</v>
      </c>
      <c r="K62" s="58">
        <v>0.96</v>
      </c>
      <c r="L62" s="59">
        <v>0.98</v>
      </c>
    </row>
    <row r="63" spans="1:12" x14ac:dyDescent="0.55000000000000004">
      <c r="A63" s="275"/>
      <c r="B63" s="95" t="s">
        <v>30</v>
      </c>
      <c r="C63" s="96">
        <v>497</v>
      </c>
      <c r="D63" s="58">
        <v>498</v>
      </c>
      <c r="E63" s="58">
        <v>535</v>
      </c>
      <c r="F63" s="58">
        <v>554</v>
      </c>
      <c r="G63" s="58">
        <v>573</v>
      </c>
      <c r="H63" s="58">
        <v>647</v>
      </c>
      <c r="I63" s="58">
        <v>666</v>
      </c>
      <c r="J63" s="58">
        <v>684</v>
      </c>
      <c r="K63" s="58">
        <v>722</v>
      </c>
      <c r="L63" s="59">
        <v>759</v>
      </c>
    </row>
    <row r="64" spans="1:12" ht="18.5" thickBot="1" x14ac:dyDescent="0.6">
      <c r="A64" s="276"/>
      <c r="B64" s="97" t="s">
        <v>174</v>
      </c>
      <c r="C64" s="98">
        <v>56</v>
      </c>
      <c r="D64" s="61">
        <v>54</v>
      </c>
      <c r="E64" s="61">
        <v>53</v>
      </c>
      <c r="F64" s="61">
        <v>51</v>
      </c>
      <c r="G64" s="61">
        <v>47</v>
      </c>
      <c r="H64" s="61">
        <v>46</v>
      </c>
      <c r="I64" s="61">
        <v>45</v>
      </c>
      <c r="J64" s="61">
        <v>44</v>
      </c>
      <c r="K64" s="61">
        <v>43</v>
      </c>
      <c r="L64" s="62">
        <v>42</v>
      </c>
    </row>
    <row r="65" spans="1:12" x14ac:dyDescent="0.55000000000000004">
      <c r="A65" s="277" t="s">
        <v>181</v>
      </c>
      <c r="B65" s="99" t="s">
        <v>170</v>
      </c>
      <c r="C65" s="60">
        <v>0.91</v>
      </c>
      <c r="D65" s="57">
        <v>0.92</v>
      </c>
      <c r="E65" s="57">
        <v>1.1000000000000001</v>
      </c>
      <c r="F65" s="57">
        <v>1.19</v>
      </c>
      <c r="G65" s="57">
        <v>1.28</v>
      </c>
      <c r="H65" s="57">
        <v>1.63</v>
      </c>
      <c r="I65" s="57">
        <v>1.72</v>
      </c>
      <c r="J65" s="57">
        <v>1.81</v>
      </c>
      <c r="K65" s="57">
        <v>1.99</v>
      </c>
      <c r="L65" s="100">
        <v>2.17</v>
      </c>
    </row>
    <row r="66" spans="1:12" x14ac:dyDescent="0.55000000000000004">
      <c r="A66" s="275"/>
      <c r="B66" s="95" t="s">
        <v>171</v>
      </c>
      <c r="C66" s="96">
        <v>172</v>
      </c>
      <c r="D66" s="58">
        <v>173</v>
      </c>
      <c r="E66" s="58">
        <v>183</v>
      </c>
      <c r="F66" s="58">
        <v>188</v>
      </c>
      <c r="G66" s="58">
        <v>193</v>
      </c>
      <c r="H66" s="58">
        <v>212</v>
      </c>
      <c r="I66" s="58">
        <v>217</v>
      </c>
      <c r="J66" s="58">
        <v>222</v>
      </c>
      <c r="K66" s="58">
        <v>232</v>
      </c>
      <c r="L66" s="59">
        <v>242</v>
      </c>
    </row>
    <row r="67" spans="1:12" x14ac:dyDescent="0.55000000000000004">
      <c r="A67" s="275"/>
      <c r="B67" s="95" t="s">
        <v>172</v>
      </c>
      <c r="C67" s="96">
        <v>22.9</v>
      </c>
      <c r="D67" s="58">
        <v>23</v>
      </c>
      <c r="E67" s="58">
        <v>25.4</v>
      </c>
      <c r="F67" s="58">
        <v>26.6</v>
      </c>
      <c r="G67" s="58">
        <v>27.8</v>
      </c>
      <c r="H67" s="58">
        <v>32.5</v>
      </c>
      <c r="I67" s="58">
        <v>33.700000000000003</v>
      </c>
      <c r="J67" s="58">
        <v>34.9</v>
      </c>
      <c r="K67" s="58">
        <v>37.299999999999997</v>
      </c>
      <c r="L67" s="59">
        <v>39.700000000000003</v>
      </c>
    </row>
    <row r="68" spans="1:12" x14ac:dyDescent="0.55000000000000004">
      <c r="A68" s="275"/>
      <c r="B68" s="95" t="s">
        <v>173</v>
      </c>
      <c r="C68" s="96">
        <v>25.6</v>
      </c>
      <c r="D68" s="58">
        <v>25.7</v>
      </c>
      <c r="E68" s="58">
        <v>28.2</v>
      </c>
      <c r="F68" s="58">
        <v>29.4</v>
      </c>
      <c r="G68" s="58">
        <v>30.7</v>
      </c>
      <c r="H68" s="58">
        <v>35.6</v>
      </c>
      <c r="I68" s="58">
        <v>36.799999999999997</v>
      </c>
      <c r="J68" s="58">
        <v>38.1</v>
      </c>
      <c r="K68" s="58">
        <v>40.6</v>
      </c>
      <c r="L68" s="59">
        <v>43.1</v>
      </c>
    </row>
    <row r="69" spans="1:12" x14ac:dyDescent="0.55000000000000004">
      <c r="A69" s="275"/>
      <c r="B69" s="95" t="s">
        <v>49</v>
      </c>
      <c r="C69" s="96">
        <v>47</v>
      </c>
      <c r="D69" s="58">
        <v>48</v>
      </c>
      <c r="E69" s="58">
        <v>51</v>
      </c>
      <c r="F69" s="58">
        <v>53</v>
      </c>
      <c r="G69" s="58">
        <v>55</v>
      </c>
      <c r="H69" s="58">
        <v>61</v>
      </c>
      <c r="I69" s="58">
        <v>63</v>
      </c>
      <c r="J69" s="58">
        <v>64</v>
      </c>
      <c r="K69" s="58">
        <v>68</v>
      </c>
      <c r="L69" s="59">
        <v>71</v>
      </c>
    </row>
    <row r="70" spans="1:12" x14ac:dyDescent="0.55000000000000004">
      <c r="A70" s="275"/>
      <c r="B70" s="95" t="s">
        <v>126</v>
      </c>
      <c r="C70" s="96">
        <v>21.3</v>
      </c>
      <c r="D70" s="58">
        <v>21.4</v>
      </c>
      <c r="E70" s="58">
        <v>22.7</v>
      </c>
      <c r="F70" s="58">
        <v>23.3</v>
      </c>
      <c r="G70" s="58">
        <v>23.9</v>
      </c>
      <c r="H70" s="58">
        <v>26.3</v>
      </c>
      <c r="I70" s="58">
        <v>27</v>
      </c>
      <c r="J70" s="58">
        <v>27.6</v>
      </c>
      <c r="K70" s="58">
        <v>28.8</v>
      </c>
      <c r="L70" s="59">
        <v>30.1</v>
      </c>
    </row>
    <row r="71" spans="1:12" x14ac:dyDescent="0.55000000000000004">
      <c r="A71" s="275"/>
      <c r="B71" s="95" t="s">
        <v>127</v>
      </c>
      <c r="C71" s="96">
        <v>0.84</v>
      </c>
      <c r="D71" s="58">
        <v>0.85</v>
      </c>
      <c r="E71" s="58">
        <v>0.87</v>
      </c>
      <c r="F71" s="58">
        <v>0.88</v>
      </c>
      <c r="G71" s="58">
        <v>0.89</v>
      </c>
      <c r="H71" s="58">
        <v>0.92</v>
      </c>
      <c r="I71" s="58">
        <v>0.93</v>
      </c>
      <c r="J71" s="58">
        <v>0.94</v>
      </c>
      <c r="K71" s="58">
        <v>0.96</v>
      </c>
      <c r="L71" s="59">
        <v>0.98</v>
      </c>
    </row>
    <row r="72" spans="1:12" x14ac:dyDescent="0.55000000000000004">
      <c r="A72" s="275"/>
      <c r="B72" s="95" t="s">
        <v>30</v>
      </c>
      <c r="C72" s="96">
        <v>517</v>
      </c>
      <c r="D72" s="58">
        <v>518</v>
      </c>
      <c r="E72" s="58">
        <v>555</v>
      </c>
      <c r="F72" s="58">
        <v>574</v>
      </c>
      <c r="G72" s="58">
        <v>593</v>
      </c>
      <c r="H72" s="58">
        <v>667</v>
      </c>
      <c r="I72" s="58">
        <v>686</v>
      </c>
      <c r="J72" s="58">
        <v>704</v>
      </c>
      <c r="K72" s="58">
        <v>742</v>
      </c>
      <c r="L72" s="59">
        <v>779</v>
      </c>
    </row>
    <row r="73" spans="1:12" ht="18.5" thickBot="1" x14ac:dyDescent="0.6">
      <c r="A73" s="278"/>
      <c r="B73" s="101" t="s">
        <v>174</v>
      </c>
      <c r="C73" s="102">
        <v>55</v>
      </c>
      <c r="D73" s="103">
        <v>53</v>
      </c>
      <c r="E73" s="103">
        <v>52</v>
      </c>
      <c r="F73" s="103">
        <v>50</v>
      </c>
      <c r="G73" s="103">
        <v>46</v>
      </c>
      <c r="H73" s="103">
        <v>45</v>
      </c>
      <c r="I73" s="103">
        <v>44</v>
      </c>
      <c r="J73" s="103">
        <v>43</v>
      </c>
      <c r="K73" s="103">
        <v>42</v>
      </c>
      <c r="L73" s="104">
        <v>41</v>
      </c>
    </row>
    <row r="74" spans="1:12" x14ac:dyDescent="0.55000000000000004">
      <c r="A74" s="274" t="s">
        <v>182</v>
      </c>
      <c r="B74" s="94" t="s">
        <v>170</v>
      </c>
      <c r="C74" s="53">
        <v>1</v>
      </c>
      <c r="D74" s="55">
        <v>1.01</v>
      </c>
      <c r="E74" s="55">
        <v>1.19</v>
      </c>
      <c r="F74" s="55">
        <v>1.28</v>
      </c>
      <c r="G74" s="55">
        <v>1.37</v>
      </c>
      <c r="H74" s="55">
        <v>1.72</v>
      </c>
      <c r="I74" s="55">
        <v>1.81</v>
      </c>
      <c r="J74" s="55">
        <v>1.9</v>
      </c>
      <c r="K74" s="55">
        <v>2.08</v>
      </c>
      <c r="L74" s="54">
        <v>2.2599999999999998</v>
      </c>
    </row>
    <row r="75" spans="1:12" x14ac:dyDescent="0.55000000000000004">
      <c r="A75" s="275"/>
      <c r="B75" s="95" t="s">
        <v>171</v>
      </c>
      <c r="C75" s="96">
        <v>183</v>
      </c>
      <c r="D75" s="58">
        <v>184</v>
      </c>
      <c r="E75" s="58">
        <v>194</v>
      </c>
      <c r="F75" s="58">
        <v>199</v>
      </c>
      <c r="G75" s="58">
        <v>204</v>
      </c>
      <c r="H75" s="58">
        <v>223</v>
      </c>
      <c r="I75" s="58">
        <v>228</v>
      </c>
      <c r="J75" s="58">
        <v>233</v>
      </c>
      <c r="K75" s="58">
        <v>243</v>
      </c>
      <c r="L75" s="59">
        <v>253</v>
      </c>
    </row>
    <row r="76" spans="1:12" x14ac:dyDescent="0.55000000000000004">
      <c r="A76" s="275"/>
      <c r="B76" s="95" t="s">
        <v>172</v>
      </c>
      <c r="C76" s="96">
        <v>24.5</v>
      </c>
      <c r="D76" s="58">
        <v>24.6</v>
      </c>
      <c r="E76" s="58">
        <v>27</v>
      </c>
      <c r="F76" s="58">
        <v>28.2</v>
      </c>
      <c r="G76" s="58">
        <v>29.4</v>
      </c>
      <c r="H76" s="58">
        <v>34.1</v>
      </c>
      <c r="I76" s="58">
        <v>35.299999999999997</v>
      </c>
      <c r="J76" s="58">
        <v>36.5</v>
      </c>
      <c r="K76" s="58">
        <v>38.9</v>
      </c>
      <c r="L76" s="59">
        <v>41.3</v>
      </c>
    </row>
    <row r="77" spans="1:12" x14ac:dyDescent="0.55000000000000004">
      <c r="A77" s="275"/>
      <c r="B77" s="95" t="s">
        <v>173</v>
      </c>
      <c r="C77" s="96">
        <v>28.1</v>
      </c>
      <c r="D77" s="58">
        <v>28.2</v>
      </c>
      <c r="E77" s="58">
        <v>30.7</v>
      </c>
      <c r="F77" s="58">
        <v>31.9</v>
      </c>
      <c r="G77" s="58">
        <v>33.200000000000003</v>
      </c>
      <c r="H77" s="58">
        <v>38.1</v>
      </c>
      <c r="I77" s="58">
        <v>39.299999999999997</v>
      </c>
      <c r="J77" s="58">
        <v>40.6</v>
      </c>
      <c r="K77" s="58">
        <v>43.1</v>
      </c>
      <c r="L77" s="59">
        <v>45.6</v>
      </c>
    </row>
    <row r="78" spans="1:12" x14ac:dyDescent="0.55000000000000004">
      <c r="A78" s="275"/>
      <c r="B78" s="95" t="s">
        <v>49</v>
      </c>
      <c r="C78" s="96">
        <v>48</v>
      </c>
      <c r="D78" s="58">
        <v>49</v>
      </c>
      <c r="E78" s="58">
        <v>52</v>
      </c>
      <c r="F78" s="58">
        <v>54</v>
      </c>
      <c r="G78" s="58">
        <v>56</v>
      </c>
      <c r="H78" s="58">
        <v>62</v>
      </c>
      <c r="I78" s="58">
        <v>64</v>
      </c>
      <c r="J78" s="58">
        <v>65</v>
      </c>
      <c r="K78" s="58">
        <v>69</v>
      </c>
      <c r="L78" s="59">
        <v>72</v>
      </c>
    </row>
    <row r="79" spans="1:12" x14ac:dyDescent="0.55000000000000004">
      <c r="A79" s="275"/>
      <c r="B79" s="95" t="s">
        <v>126</v>
      </c>
      <c r="C79" s="96">
        <v>22.2</v>
      </c>
      <c r="D79" s="58">
        <v>22.3</v>
      </c>
      <c r="E79" s="58">
        <v>23.5</v>
      </c>
      <c r="F79" s="58">
        <v>24.2</v>
      </c>
      <c r="G79" s="58">
        <v>24.8</v>
      </c>
      <c r="H79" s="58">
        <v>27.2</v>
      </c>
      <c r="I79" s="58">
        <v>27.8</v>
      </c>
      <c r="J79" s="58">
        <v>28.4</v>
      </c>
      <c r="K79" s="58">
        <v>29.7</v>
      </c>
      <c r="L79" s="59">
        <v>30.9</v>
      </c>
    </row>
    <row r="80" spans="1:12" x14ac:dyDescent="0.55000000000000004">
      <c r="A80" s="275"/>
      <c r="B80" s="95" t="s">
        <v>127</v>
      </c>
      <c r="C80" s="96">
        <v>0.84</v>
      </c>
      <c r="D80" s="58">
        <v>0.85</v>
      </c>
      <c r="E80" s="58">
        <v>0.87</v>
      </c>
      <c r="F80" s="58">
        <v>0.88</v>
      </c>
      <c r="G80" s="58">
        <v>0.89</v>
      </c>
      <c r="H80" s="58">
        <v>0.92</v>
      </c>
      <c r="I80" s="58">
        <v>0.93</v>
      </c>
      <c r="J80" s="58">
        <v>0.94</v>
      </c>
      <c r="K80" s="58">
        <v>0.96</v>
      </c>
      <c r="L80" s="59">
        <v>0.98</v>
      </c>
    </row>
    <row r="81" spans="1:12" x14ac:dyDescent="0.55000000000000004">
      <c r="A81" s="275"/>
      <c r="B81" s="95" t="s">
        <v>30</v>
      </c>
      <c r="C81" s="96">
        <v>535</v>
      </c>
      <c r="D81" s="58">
        <v>536</v>
      </c>
      <c r="E81" s="58">
        <v>574</v>
      </c>
      <c r="F81" s="58">
        <v>593</v>
      </c>
      <c r="G81" s="58">
        <v>611</v>
      </c>
      <c r="H81" s="58">
        <v>685</v>
      </c>
      <c r="I81" s="58">
        <v>704</v>
      </c>
      <c r="J81" s="58">
        <v>723</v>
      </c>
      <c r="K81" s="58">
        <v>760</v>
      </c>
      <c r="L81" s="59">
        <v>798</v>
      </c>
    </row>
    <row r="82" spans="1:12" ht="18.5" thickBot="1" x14ac:dyDescent="0.6">
      <c r="A82" s="276"/>
      <c r="B82" s="97" t="s">
        <v>174</v>
      </c>
      <c r="C82" s="98">
        <v>54</v>
      </c>
      <c r="D82" s="61">
        <v>52</v>
      </c>
      <c r="E82" s="61">
        <v>51</v>
      </c>
      <c r="F82" s="61">
        <v>49</v>
      </c>
      <c r="G82" s="61">
        <v>45</v>
      </c>
      <c r="H82" s="61">
        <v>44</v>
      </c>
      <c r="I82" s="61">
        <v>43</v>
      </c>
      <c r="J82" s="61">
        <v>42</v>
      </c>
      <c r="K82" s="61">
        <v>41</v>
      </c>
      <c r="L82" s="62">
        <v>40</v>
      </c>
    </row>
    <row r="83" spans="1:12" x14ac:dyDescent="0.55000000000000004">
      <c r="A83" s="277" t="s">
        <v>183</v>
      </c>
      <c r="B83" s="99" t="s">
        <v>170</v>
      </c>
      <c r="C83" s="60">
        <v>1.07</v>
      </c>
      <c r="D83" s="57">
        <v>1.08</v>
      </c>
      <c r="E83" s="57">
        <v>1.26</v>
      </c>
      <c r="F83" s="57">
        <v>1.35</v>
      </c>
      <c r="G83" s="57">
        <v>1.44</v>
      </c>
      <c r="H83" s="57">
        <v>1.79</v>
      </c>
      <c r="I83" s="57">
        <v>1.88</v>
      </c>
      <c r="J83" s="57">
        <v>1.97</v>
      </c>
      <c r="K83" s="57">
        <v>2.15</v>
      </c>
      <c r="L83" s="100">
        <v>2.33</v>
      </c>
    </row>
    <row r="84" spans="1:12" x14ac:dyDescent="0.55000000000000004">
      <c r="A84" s="275"/>
      <c r="B84" s="95" t="s">
        <v>171</v>
      </c>
      <c r="C84" s="96">
        <v>193</v>
      </c>
      <c r="D84" s="58">
        <v>194</v>
      </c>
      <c r="E84" s="58">
        <v>204</v>
      </c>
      <c r="F84" s="58">
        <v>209</v>
      </c>
      <c r="G84" s="58">
        <v>214</v>
      </c>
      <c r="H84" s="58">
        <v>233</v>
      </c>
      <c r="I84" s="58">
        <v>238</v>
      </c>
      <c r="J84" s="58">
        <v>243</v>
      </c>
      <c r="K84" s="58">
        <v>253</v>
      </c>
      <c r="L84" s="59">
        <v>263</v>
      </c>
    </row>
    <row r="85" spans="1:12" x14ac:dyDescent="0.55000000000000004">
      <c r="A85" s="275"/>
      <c r="B85" s="95" t="s">
        <v>172</v>
      </c>
      <c r="C85" s="96">
        <v>25.9</v>
      </c>
      <c r="D85" s="58">
        <v>26</v>
      </c>
      <c r="E85" s="58">
        <v>28.4</v>
      </c>
      <c r="F85" s="58">
        <v>29.6</v>
      </c>
      <c r="G85" s="58">
        <v>30.8</v>
      </c>
      <c r="H85" s="58">
        <v>35.5</v>
      </c>
      <c r="I85" s="58">
        <v>36.700000000000003</v>
      </c>
      <c r="J85" s="58">
        <v>37.9</v>
      </c>
      <c r="K85" s="58">
        <v>40.299999999999997</v>
      </c>
      <c r="L85" s="59">
        <v>42.7</v>
      </c>
    </row>
    <row r="86" spans="1:12" x14ac:dyDescent="0.55000000000000004">
      <c r="A86" s="275"/>
      <c r="B86" s="95" t="s">
        <v>173</v>
      </c>
      <c r="C86" s="96">
        <v>30.2</v>
      </c>
      <c r="D86" s="58">
        <v>30.3</v>
      </c>
      <c r="E86" s="58">
        <v>32.799999999999997</v>
      </c>
      <c r="F86" s="58">
        <v>34</v>
      </c>
      <c r="G86" s="58">
        <v>35.299999999999997</v>
      </c>
      <c r="H86" s="58">
        <v>40.200000000000003</v>
      </c>
      <c r="I86" s="58">
        <v>41.4</v>
      </c>
      <c r="J86" s="58">
        <v>42.7</v>
      </c>
      <c r="K86" s="58">
        <v>45.2</v>
      </c>
      <c r="L86" s="59">
        <v>47.7</v>
      </c>
    </row>
    <row r="87" spans="1:12" x14ac:dyDescent="0.55000000000000004">
      <c r="A87" s="275"/>
      <c r="B87" s="95" t="s">
        <v>49</v>
      </c>
      <c r="C87" s="96">
        <v>49</v>
      </c>
      <c r="D87" s="58">
        <v>50</v>
      </c>
      <c r="E87" s="58">
        <v>53</v>
      </c>
      <c r="F87" s="58">
        <v>55</v>
      </c>
      <c r="G87" s="58">
        <v>57</v>
      </c>
      <c r="H87" s="58">
        <v>63</v>
      </c>
      <c r="I87" s="58">
        <v>64</v>
      </c>
      <c r="J87" s="58">
        <v>66</v>
      </c>
      <c r="K87" s="58">
        <v>70</v>
      </c>
      <c r="L87" s="59">
        <v>73</v>
      </c>
    </row>
    <row r="88" spans="1:12" x14ac:dyDescent="0.55000000000000004">
      <c r="A88" s="275"/>
      <c r="B88" s="95" t="s">
        <v>126</v>
      </c>
      <c r="C88" s="96">
        <v>22.9</v>
      </c>
      <c r="D88" s="58">
        <v>23</v>
      </c>
      <c r="E88" s="58">
        <v>24.3</v>
      </c>
      <c r="F88" s="58">
        <v>24.9</v>
      </c>
      <c r="G88" s="58">
        <v>25.5</v>
      </c>
      <c r="H88" s="58">
        <v>27.9</v>
      </c>
      <c r="I88" s="58">
        <v>28.5</v>
      </c>
      <c r="J88" s="58">
        <v>29.2</v>
      </c>
      <c r="K88" s="58">
        <v>30.4</v>
      </c>
      <c r="L88" s="59">
        <v>31.7</v>
      </c>
    </row>
    <row r="89" spans="1:12" x14ac:dyDescent="0.55000000000000004">
      <c r="A89" s="275"/>
      <c r="B89" s="95" t="s">
        <v>127</v>
      </c>
      <c r="C89" s="96">
        <v>0.84</v>
      </c>
      <c r="D89" s="58">
        <v>0.85</v>
      </c>
      <c r="E89" s="58">
        <v>0.87</v>
      </c>
      <c r="F89" s="58">
        <v>0.88</v>
      </c>
      <c r="G89" s="58">
        <v>0.89</v>
      </c>
      <c r="H89" s="58">
        <v>0.92</v>
      </c>
      <c r="I89" s="58">
        <v>0.93</v>
      </c>
      <c r="J89" s="58">
        <v>0.94</v>
      </c>
      <c r="K89" s="58">
        <v>0.96</v>
      </c>
      <c r="L89" s="59">
        <v>0.98</v>
      </c>
    </row>
    <row r="90" spans="1:12" x14ac:dyDescent="0.55000000000000004">
      <c r="A90" s="275"/>
      <c r="B90" s="95" t="s">
        <v>30</v>
      </c>
      <c r="C90" s="96">
        <v>552</v>
      </c>
      <c r="D90" s="58">
        <v>553</v>
      </c>
      <c r="E90" s="58">
        <v>591</v>
      </c>
      <c r="F90" s="58">
        <v>609</v>
      </c>
      <c r="G90" s="58">
        <v>628</v>
      </c>
      <c r="H90" s="58">
        <v>702</v>
      </c>
      <c r="I90" s="58">
        <v>721</v>
      </c>
      <c r="J90" s="58">
        <v>740</v>
      </c>
      <c r="K90" s="58">
        <v>777</v>
      </c>
      <c r="L90" s="59">
        <v>815</v>
      </c>
    </row>
    <row r="91" spans="1:12" ht="18.5" thickBot="1" x14ac:dyDescent="0.6">
      <c r="A91" s="276"/>
      <c r="B91" s="97" t="s">
        <v>174</v>
      </c>
      <c r="C91" s="98">
        <v>53</v>
      </c>
      <c r="D91" s="61">
        <v>51</v>
      </c>
      <c r="E91" s="61">
        <v>50</v>
      </c>
      <c r="F91" s="61">
        <v>48</v>
      </c>
      <c r="G91" s="61">
        <v>44</v>
      </c>
      <c r="H91" s="61">
        <v>43</v>
      </c>
      <c r="I91" s="61">
        <v>42</v>
      </c>
      <c r="J91" s="61">
        <v>41</v>
      </c>
      <c r="K91" s="61">
        <v>40</v>
      </c>
      <c r="L91" s="62">
        <v>39</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270D-F713-4888-803D-B25A752E6DAA}">
  <sheetPr codeName="Sheet5">
    <tabColor rgb="FFFF0000"/>
  </sheetPr>
  <dimension ref="A1:L91"/>
  <sheetViews>
    <sheetView zoomScale="58" workbookViewId="0">
      <selection activeCell="R15" sqref="R1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2" ht="18.5" thickBot="1" x14ac:dyDescent="0.6">
      <c r="A1" s="90" t="s">
        <v>114</v>
      </c>
      <c r="B1" s="90" t="s">
        <v>139</v>
      </c>
      <c r="C1" s="91">
        <v>1</v>
      </c>
      <c r="D1" s="92">
        <v>2</v>
      </c>
      <c r="E1" s="92">
        <v>3</v>
      </c>
      <c r="F1" s="92">
        <v>4</v>
      </c>
      <c r="G1" s="92">
        <v>5</v>
      </c>
      <c r="H1" s="92">
        <v>6</v>
      </c>
      <c r="I1" s="92">
        <v>7</v>
      </c>
      <c r="J1" s="92">
        <v>8</v>
      </c>
      <c r="K1" s="92">
        <v>9</v>
      </c>
      <c r="L1" s="93">
        <v>10</v>
      </c>
    </row>
    <row r="2" spans="1:12" x14ac:dyDescent="0.55000000000000004">
      <c r="A2" s="274" t="s">
        <v>169</v>
      </c>
      <c r="B2" s="94" t="s">
        <v>170</v>
      </c>
      <c r="C2" s="53">
        <v>0.21</v>
      </c>
      <c r="D2" s="55">
        <v>0.22</v>
      </c>
      <c r="E2" s="55">
        <v>0.38</v>
      </c>
      <c r="F2" s="55">
        <v>0.47</v>
      </c>
      <c r="G2" s="55">
        <v>0.55000000000000004</v>
      </c>
      <c r="H2" s="55">
        <v>0.87</v>
      </c>
      <c r="I2" s="55">
        <v>0.95</v>
      </c>
      <c r="J2" s="55">
        <v>1.03</v>
      </c>
      <c r="K2" s="55">
        <v>1.2</v>
      </c>
      <c r="L2" s="54">
        <v>1.36</v>
      </c>
    </row>
    <row r="3" spans="1:12" x14ac:dyDescent="0.55000000000000004">
      <c r="A3" s="275"/>
      <c r="B3" s="95" t="s">
        <v>171</v>
      </c>
      <c r="C3" s="96">
        <v>87</v>
      </c>
      <c r="D3" s="58">
        <v>88</v>
      </c>
      <c r="E3" s="58">
        <v>98</v>
      </c>
      <c r="F3" s="58">
        <v>103</v>
      </c>
      <c r="G3" s="58">
        <v>107</v>
      </c>
      <c r="H3" s="58">
        <v>125</v>
      </c>
      <c r="I3" s="58">
        <v>130</v>
      </c>
      <c r="J3" s="58">
        <v>135</v>
      </c>
      <c r="K3" s="58">
        <v>144</v>
      </c>
      <c r="L3" s="59">
        <v>154</v>
      </c>
    </row>
    <row r="4" spans="1:12" x14ac:dyDescent="0.55000000000000004">
      <c r="A4" s="275"/>
      <c r="B4" s="95" t="s">
        <v>172</v>
      </c>
      <c r="C4" s="96">
        <v>10.1</v>
      </c>
      <c r="D4" s="58">
        <v>10.199999999999999</v>
      </c>
      <c r="E4" s="58">
        <v>12.3</v>
      </c>
      <c r="F4" s="58">
        <v>13.4</v>
      </c>
      <c r="G4" s="58">
        <v>14.4</v>
      </c>
      <c r="H4" s="58">
        <v>18.5</v>
      </c>
      <c r="I4" s="58">
        <v>19.600000000000001</v>
      </c>
      <c r="J4" s="58">
        <v>20.6</v>
      </c>
      <c r="K4" s="58">
        <v>22.7</v>
      </c>
      <c r="L4" s="59">
        <v>24.8</v>
      </c>
    </row>
    <row r="5" spans="1:12" x14ac:dyDescent="0.55000000000000004">
      <c r="A5" s="275"/>
      <c r="B5" s="95" t="s">
        <v>173</v>
      </c>
      <c r="C5" s="96">
        <v>9.5</v>
      </c>
      <c r="D5" s="58">
        <v>9.6</v>
      </c>
      <c r="E5" s="58">
        <v>11.8</v>
      </c>
      <c r="F5" s="58">
        <v>12.9</v>
      </c>
      <c r="G5" s="58">
        <v>14</v>
      </c>
      <c r="H5" s="58">
        <v>18.3</v>
      </c>
      <c r="I5" s="58">
        <v>19.399999999999999</v>
      </c>
      <c r="J5" s="58">
        <v>20.5</v>
      </c>
      <c r="K5" s="58">
        <v>22.7</v>
      </c>
      <c r="L5" s="59">
        <v>24.9</v>
      </c>
    </row>
    <row r="6" spans="1:12" x14ac:dyDescent="0.55000000000000004">
      <c r="A6" s="275"/>
      <c r="B6" s="95" t="s">
        <v>49</v>
      </c>
      <c r="C6" s="96">
        <v>38</v>
      </c>
      <c r="D6" s="58">
        <v>39</v>
      </c>
      <c r="E6" s="58">
        <v>42</v>
      </c>
      <c r="F6" s="58">
        <v>44</v>
      </c>
      <c r="G6" s="58">
        <v>46</v>
      </c>
      <c r="H6" s="58">
        <v>52</v>
      </c>
      <c r="I6" s="58">
        <v>53</v>
      </c>
      <c r="J6" s="58">
        <v>55</v>
      </c>
      <c r="K6" s="58">
        <v>59</v>
      </c>
      <c r="L6" s="59">
        <v>62</v>
      </c>
    </row>
    <row r="7" spans="1:12" x14ac:dyDescent="0.55000000000000004">
      <c r="A7" s="275"/>
      <c r="B7" s="95" t="s">
        <v>126</v>
      </c>
      <c r="C7" s="96">
        <v>10.199999999999999</v>
      </c>
      <c r="D7" s="58">
        <v>10.3</v>
      </c>
      <c r="E7" s="58">
        <v>11.4</v>
      </c>
      <c r="F7" s="58">
        <v>12</v>
      </c>
      <c r="G7" s="58">
        <v>12.6</v>
      </c>
      <c r="H7" s="58">
        <v>14.8</v>
      </c>
      <c r="I7" s="58">
        <v>15.3</v>
      </c>
      <c r="J7" s="58">
        <v>15.9</v>
      </c>
      <c r="K7" s="58">
        <v>17.100000000000001</v>
      </c>
      <c r="L7" s="59">
        <v>18.2</v>
      </c>
    </row>
    <row r="8" spans="1:12" x14ac:dyDescent="0.55000000000000004">
      <c r="A8" s="275"/>
      <c r="B8" s="95" t="s">
        <v>127</v>
      </c>
      <c r="C8" s="96">
        <v>0.82</v>
      </c>
      <c r="D8" s="58">
        <v>0.83</v>
      </c>
      <c r="E8" s="58">
        <v>0.85</v>
      </c>
      <c r="F8" s="58">
        <v>0.86</v>
      </c>
      <c r="G8" s="58">
        <v>0.87</v>
      </c>
      <c r="H8" s="58">
        <v>0.9</v>
      </c>
      <c r="I8" s="58">
        <v>0.91</v>
      </c>
      <c r="J8" s="58">
        <v>0.92</v>
      </c>
      <c r="K8" s="58">
        <v>0.94</v>
      </c>
      <c r="L8" s="59">
        <v>0.96</v>
      </c>
    </row>
    <row r="9" spans="1:12" x14ac:dyDescent="0.55000000000000004">
      <c r="A9" s="275"/>
      <c r="B9" s="95" t="s">
        <v>30</v>
      </c>
      <c r="C9" s="96">
        <v>335</v>
      </c>
      <c r="D9" s="58">
        <v>336</v>
      </c>
      <c r="E9" s="58">
        <v>373</v>
      </c>
      <c r="F9" s="58">
        <v>392</v>
      </c>
      <c r="G9" s="58">
        <v>410</v>
      </c>
      <c r="H9" s="58">
        <v>483</v>
      </c>
      <c r="I9" s="58">
        <v>502</v>
      </c>
      <c r="J9" s="58">
        <v>520</v>
      </c>
      <c r="K9" s="58">
        <v>557</v>
      </c>
      <c r="L9" s="59">
        <v>594</v>
      </c>
    </row>
    <row r="10" spans="1:12" ht="18.5" thickBot="1" x14ac:dyDescent="0.6">
      <c r="A10" s="276"/>
      <c r="B10" s="97" t="s">
        <v>174</v>
      </c>
      <c r="C10" s="98">
        <v>68</v>
      </c>
      <c r="D10" s="61">
        <v>66</v>
      </c>
      <c r="E10" s="61">
        <v>65</v>
      </c>
      <c r="F10" s="61">
        <v>64</v>
      </c>
      <c r="G10" s="61">
        <v>62</v>
      </c>
      <c r="H10" s="61">
        <v>59</v>
      </c>
      <c r="I10" s="61">
        <v>58</v>
      </c>
      <c r="J10" s="61">
        <v>57</v>
      </c>
      <c r="K10" s="61">
        <v>56</v>
      </c>
      <c r="L10" s="62">
        <v>55</v>
      </c>
    </row>
    <row r="11" spans="1:12" x14ac:dyDescent="0.55000000000000004">
      <c r="A11" s="274" t="s">
        <v>175</v>
      </c>
      <c r="B11" s="94" t="s">
        <v>170</v>
      </c>
      <c r="C11" s="53">
        <v>0.34</v>
      </c>
      <c r="D11" s="55">
        <v>0.35</v>
      </c>
      <c r="E11" s="55">
        <v>0.51</v>
      </c>
      <c r="F11" s="55">
        <v>0.59</v>
      </c>
      <c r="G11" s="55">
        <v>0.68</v>
      </c>
      <c r="H11" s="55">
        <v>1</v>
      </c>
      <c r="I11" s="55">
        <v>1.08</v>
      </c>
      <c r="J11" s="55">
        <v>1.1599999999999999</v>
      </c>
      <c r="K11" s="55">
        <v>1.33</v>
      </c>
      <c r="L11" s="54">
        <v>1.49</v>
      </c>
    </row>
    <row r="12" spans="1:12" x14ac:dyDescent="0.55000000000000004">
      <c r="A12" s="275"/>
      <c r="B12" s="95" t="s">
        <v>171</v>
      </c>
      <c r="C12" s="96">
        <v>101</v>
      </c>
      <c r="D12" s="58">
        <v>102</v>
      </c>
      <c r="E12" s="58">
        <v>111</v>
      </c>
      <c r="F12" s="58">
        <v>116</v>
      </c>
      <c r="G12" s="58">
        <v>121</v>
      </c>
      <c r="H12" s="58">
        <v>139</v>
      </c>
      <c r="I12" s="58">
        <v>143</v>
      </c>
      <c r="J12" s="58">
        <v>148</v>
      </c>
      <c r="K12" s="58">
        <v>158</v>
      </c>
      <c r="L12" s="59">
        <v>167</v>
      </c>
    </row>
    <row r="13" spans="1:12" x14ac:dyDescent="0.55000000000000004">
      <c r="A13" s="275"/>
      <c r="B13" s="95" t="s">
        <v>172</v>
      </c>
      <c r="C13" s="96">
        <v>11.6</v>
      </c>
      <c r="D13" s="58">
        <v>11.7</v>
      </c>
      <c r="E13" s="58">
        <v>13.8</v>
      </c>
      <c r="F13" s="58">
        <v>14.9</v>
      </c>
      <c r="G13" s="58">
        <v>15.9</v>
      </c>
      <c r="H13" s="58">
        <v>20</v>
      </c>
      <c r="I13" s="58">
        <v>21.1</v>
      </c>
      <c r="J13" s="58">
        <v>22.1</v>
      </c>
      <c r="K13" s="58">
        <v>24.2</v>
      </c>
      <c r="L13" s="59">
        <v>26.3</v>
      </c>
    </row>
    <row r="14" spans="1:12" x14ac:dyDescent="0.55000000000000004">
      <c r="A14" s="275"/>
      <c r="B14" s="95" t="s">
        <v>173</v>
      </c>
      <c r="C14" s="96">
        <v>11.8</v>
      </c>
      <c r="D14" s="58">
        <v>11.9</v>
      </c>
      <c r="E14" s="58">
        <v>14.1</v>
      </c>
      <c r="F14" s="58">
        <v>15.2</v>
      </c>
      <c r="G14" s="58">
        <v>16.3</v>
      </c>
      <c r="H14" s="58">
        <v>20.6</v>
      </c>
      <c r="I14" s="58">
        <v>21.7</v>
      </c>
      <c r="J14" s="58">
        <v>22.8</v>
      </c>
      <c r="K14" s="58">
        <v>25</v>
      </c>
      <c r="L14" s="59">
        <v>27.2</v>
      </c>
    </row>
    <row r="15" spans="1:12" x14ac:dyDescent="0.55000000000000004">
      <c r="A15" s="275"/>
      <c r="B15" s="95" t="s">
        <v>49</v>
      </c>
      <c r="C15" s="96">
        <v>39</v>
      </c>
      <c r="D15" s="58">
        <v>40</v>
      </c>
      <c r="E15" s="58">
        <v>43</v>
      </c>
      <c r="F15" s="58">
        <v>45</v>
      </c>
      <c r="G15" s="58">
        <v>47</v>
      </c>
      <c r="H15" s="58">
        <v>53</v>
      </c>
      <c r="I15" s="58">
        <v>54</v>
      </c>
      <c r="J15" s="58">
        <v>56</v>
      </c>
      <c r="K15" s="58">
        <v>60</v>
      </c>
      <c r="L15" s="59">
        <v>63</v>
      </c>
    </row>
    <row r="16" spans="1:12" x14ac:dyDescent="0.55000000000000004">
      <c r="A16" s="275"/>
      <c r="B16" s="95" t="s">
        <v>126</v>
      </c>
      <c r="C16" s="96">
        <v>12.6</v>
      </c>
      <c r="D16" s="58">
        <v>12.7</v>
      </c>
      <c r="E16" s="58">
        <v>13.8</v>
      </c>
      <c r="F16" s="58">
        <v>14.4</v>
      </c>
      <c r="G16" s="58">
        <v>15</v>
      </c>
      <c r="H16" s="58">
        <v>17.2</v>
      </c>
      <c r="I16" s="58">
        <v>17.8</v>
      </c>
      <c r="J16" s="58">
        <v>18.3</v>
      </c>
      <c r="K16" s="58">
        <v>19.5</v>
      </c>
      <c r="L16" s="59">
        <v>20.6</v>
      </c>
    </row>
    <row r="17" spans="1:12" x14ac:dyDescent="0.55000000000000004">
      <c r="A17" s="275"/>
      <c r="B17" s="95" t="s">
        <v>127</v>
      </c>
      <c r="C17" s="96">
        <v>0.83</v>
      </c>
      <c r="D17" s="58">
        <v>0.84</v>
      </c>
      <c r="E17" s="58">
        <v>0.86</v>
      </c>
      <c r="F17" s="58">
        <v>0.87</v>
      </c>
      <c r="G17" s="58">
        <v>0.88</v>
      </c>
      <c r="H17" s="58">
        <v>0.91</v>
      </c>
      <c r="I17" s="58">
        <v>0.92</v>
      </c>
      <c r="J17" s="58">
        <v>0.93</v>
      </c>
      <c r="K17" s="58">
        <v>0.95</v>
      </c>
      <c r="L17" s="59">
        <v>0.97</v>
      </c>
    </row>
    <row r="18" spans="1:12" x14ac:dyDescent="0.55000000000000004">
      <c r="A18" s="275"/>
      <c r="B18" s="95" t="s">
        <v>30</v>
      </c>
      <c r="C18" s="96">
        <v>365</v>
      </c>
      <c r="D18" s="58">
        <v>366</v>
      </c>
      <c r="E18" s="58">
        <v>403</v>
      </c>
      <c r="F18" s="58">
        <v>421</v>
      </c>
      <c r="G18" s="58">
        <v>440</v>
      </c>
      <c r="H18" s="58">
        <v>513</v>
      </c>
      <c r="I18" s="58">
        <v>531</v>
      </c>
      <c r="J18" s="58">
        <v>550</v>
      </c>
      <c r="K18" s="58">
        <v>587</v>
      </c>
      <c r="L18" s="59">
        <v>624</v>
      </c>
    </row>
    <row r="19" spans="1:12" ht="18.5" thickBot="1" x14ac:dyDescent="0.6">
      <c r="A19" s="276"/>
      <c r="B19" s="97" t="s">
        <v>174</v>
      </c>
      <c r="C19" s="98">
        <v>63</v>
      </c>
      <c r="D19" s="61">
        <v>61</v>
      </c>
      <c r="E19" s="61">
        <v>60</v>
      </c>
      <c r="F19" s="61">
        <v>59</v>
      </c>
      <c r="G19" s="61">
        <v>56</v>
      </c>
      <c r="H19" s="61">
        <v>54</v>
      </c>
      <c r="I19" s="61">
        <v>53</v>
      </c>
      <c r="J19" s="61">
        <v>52</v>
      </c>
      <c r="K19" s="61">
        <v>51</v>
      </c>
      <c r="L19" s="62">
        <v>50</v>
      </c>
    </row>
    <row r="20" spans="1:12" x14ac:dyDescent="0.55000000000000004">
      <c r="A20" s="274" t="s">
        <v>176</v>
      </c>
      <c r="B20" s="94" t="s">
        <v>170</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5"/>
      <c r="B21" s="95" t="s">
        <v>171</v>
      </c>
      <c r="C21" s="96">
        <v>110</v>
      </c>
      <c r="D21" s="58">
        <v>111</v>
      </c>
      <c r="E21" s="58">
        <v>121</v>
      </c>
      <c r="F21" s="58">
        <v>126</v>
      </c>
      <c r="G21" s="58">
        <v>131</v>
      </c>
      <c r="H21" s="58">
        <v>150</v>
      </c>
      <c r="I21" s="58">
        <v>155</v>
      </c>
      <c r="J21" s="58">
        <v>160</v>
      </c>
      <c r="K21" s="58">
        <v>170</v>
      </c>
      <c r="L21" s="59">
        <v>180</v>
      </c>
    </row>
    <row r="22" spans="1:12" x14ac:dyDescent="0.55000000000000004">
      <c r="A22" s="275"/>
      <c r="B22" s="95" t="s">
        <v>172</v>
      </c>
      <c r="C22" s="96">
        <v>12.2</v>
      </c>
      <c r="D22" s="58">
        <v>12.3</v>
      </c>
      <c r="E22" s="58">
        <v>14.7</v>
      </c>
      <c r="F22" s="58">
        <v>15.9</v>
      </c>
      <c r="G22" s="58">
        <v>17.100000000000001</v>
      </c>
      <c r="H22" s="58">
        <v>21.8</v>
      </c>
      <c r="I22" s="58">
        <v>23</v>
      </c>
      <c r="J22" s="58">
        <v>24.2</v>
      </c>
      <c r="K22" s="58">
        <v>26.6</v>
      </c>
      <c r="L22" s="59">
        <v>29</v>
      </c>
    </row>
    <row r="23" spans="1:12" x14ac:dyDescent="0.55000000000000004">
      <c r="A23" s="275"/>
      <c r="B23" s="95" t="s">
        <v>173</v>
      </c>
      <c r="C23" s="96">
        <v>12.2</v>
      </c>
      <c r="D23" s="58">
        <v>12.3</v>
      </c>
      <c r="E23" s="58">
        <v>14.8</v>
      </c>
      <c r="F23" s="58">
        <v>16</v>
      </c>
      <c r="G23" s="58">
        <v>17.3</v>
      </c>
      <c r="H23" s="58">
        <v>22.2</v>
      </c>
      <c r="I23" s="58">
        <v>23.4</v>
      </c>
      <c r="J23" s="58">
        <v>24.7</v>
      </c>
      <c r="K23" s="58">
        <v>27.2</v>
      </c>
      <c r="L23" s="59">
        <v>29.7</v>
      </c>
    </row>
    <row r="24" spans="1:12" x14ac:dyDescent="0.55000000000000004">
      <c r="A24" s="275"/>
      <c r="B24" s="95" t="s">
        <v>49</v>
      </c>
      <c r="C24" s="96">
        <v>38</v>
      </c>
      <c r="D24" s="58">
        <v>39</v>
      </c>
      <c r="E24" s="58">
        <v>42</v>
      </c>
      <c r="F24" s="58">
        <v>44</v>
      </c>
      <c r="G24" s="58">
        <v>46</v>
      </c>
      <c r="H24" s="58">
        <v>52</v>
      </c>
      <c r="I24" s="58">
        <v>54</v>
      </c>
      <c r="J24" s="58">
        <v>55</v>
      </c>
      <c r="K24" s="58">
        <v>59</v>
      </c>
      <c r="L24" s="59">
        <v>62</v>
      </c>
    </row>
    <row r="25" spans="1:12" x14ac:dyDescent="0.55000000000000004">
      <c r="A25" s="275"/>
      <c r="B25" s="95" t="s">
        <v>126</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5"/>
      <c r="B26" s="95" t="s">
        <v>127</v>
      </c>
      <c r="C26" s="96">
        <v>0.83</v>
      </c>
      <c r="D26" s="58">
        <v>0.84</v>
      </c>
      <c r="E26" s="58">
        <v>0.86</v>
      </c>
      <c r="F26" s="58">
        <v>0.87</v>
      </c>
      <c r="G26" s="58">
        <v>0.88</v>
      </c>
      <c r="H26" s="58">
        <v>0.91</v>
      </c>
      <c r="I26" s="58">
        <v>0.92</v>
      </c>
      <c r="J26" s="58">
        <v>0.93</v>
      </c>
      <c r="K26" s="58">
        <v>0.95</v>
      </c>
      <c r="L26" s="59">
        <v>0.97</v>
      </c>
    </row>
    <row r="27" spans="1:12" x14ac:dyDescent="0.55000000000000004">
      <c r="A27" s="275"/>
      <c r="B27" s="95" t="s">
        <v>30</v>
      </c>
      <c r="C27" s="96">
        <v>401</v>
      </c>
      <c r="D27" s="58">
        <v>402</v>
      </c>
      <c r="E27" s="58">
        <v>439</v>
      </c>
      <c r="F27" s="58">
        <v>458</v>
      </c>
      <c r="G27" s="58">
        <v>477</v>
      </c>
      <c r="H27" s="58">
        <v>551</v>
      </c>
      <c r="I27" s="58">
        <v>569</v>
      </c>
      <c r="J27" s="58">
        <v>588</v>
      </c>
      <c r="K27" s="58">
        <v>626</v>
      </c>
      <c r="L27" s="59">
        <v>663</v>
      </c>
    </row>
    <row r="28" spans="1:12" ht="18.5" thickBot="1" x14ac:dyDescent="0.6">
      <c r="A28" s="276"/>
      <c r="B28" s="97" t="s">
        <v>174</v>
      </c>
      <c r="C28" s="98">
        <v>62</v>
      </c>
      <c r="D28" s="61">
        <v>60</v>
      </c>
      <c r="E28" s="61">
        <v>59</v>
      </c>
      <c r="F28" s="61">
        <v>57</v>
      </c>
      <c r="G28" s="61">
        <v>53</v>
      </c>
      <c r="H28" s="61">
        <v>52</v>
      </c>
      <c r="I28" s="61">
        <v>51</v>
      </c>
      <c r="J28" s="61">
        <v>50</v>
      </c>
      <c r="K28" s="61">
        <v>49</v>
      </c>
      <c r="L28" s="62">
        <v>48</v>
      </c>
    </row>
    <row r="29" spans="1:12" x14ac:dyDescent="0.55000000000000004">
      <c r="A29" s="277" t="s">
        <v>177</v>
      </c>
      <c r="B29" s="99" t="s">
        <v>170</v>
      </c>
      <c r="C29" s="60">
        <v>0.56000000000000005</v>
      </c>
      <c r="D29" s="57">
        <v>0.56999999999999995</v>
      </c>
      <c r="E29" s="57">
        <v>0.73</v>
      </c>
      <c r="F29" s="57">
        <v>0.81</v>
      </c>
      <c r="G29" s="57">
        <v>0.9</v>
      </c>
      <c r="H29" s="57">
        <v>1.22</v>
      </c>
      <c r="I29" s="57">
        <v>1.3</v>
      </c>
      <c r="J29" s="57">
        <v>1.38</v>
      </c>
      <c r="K29" s="57">
        <v>1.55</v>
      </c>
      <c r="L29" s="100">
        <v>1.71</v>
      </c>
    </row>
    <row r="30" spans="1:12" x14ac:dyDescent="0.55000000000000004">
      <c r="A30" s="275"/>
      <c r="B30" s="95" t="s">
        <v>171</v>
      </c>
      <c r="C30" s="96">
        <v>124</v>
      </c>
      <c r="D30" s="58">
        <v>125</v>
      </c>
      <c r="E30" s="58">
        <v>134</v>
      </c>
      <c r="F30" s="58">
        <v>139</v>
      </c>
      <c r="G30" s="58">
        <v>144</v>
      </c>
      <c r="H30" s="58">
        <v>162</v>
      </c>
      <c r="I30" s="58">
        <v>166</v>
      </c>
      <c r="J30" s="58">
        <v>171</v>
      </c>
      <c r="K30" s="58">
        <v>181</v>
      </c>
      <c r="L30" s="59">
        <v>190</v>
      </c>
    </row>
    <row r="31" spans="1:12" x14ac:dyDescent="0.55000000000000004">
      <c r="A31" s="275"/>
      <c r="B31" s="95" t="s">
        <v>172</v>
      </c>
      <c r="C31" s="96">
        <v>14.4</v>
      </c>
      <c r="D31" s="58">
        <v>14.5</v>
      </c>
      <c r="E31" s="58">
        <v>16.600000000000001</v>
      </c>
      <c r="F31" s="58">
        <v>17.600000000000001</v>
      </c>
      <c r="G31" s="58">
        <v>18.7</v>
      </c>
      <c r="H31" s="58">
        <v>22.8</v>
      </c>
      <c r="I31" s="58">
        <v>23.8</v>
      </c>
      <c r="J31" s="58">
        <v>24.9</v>
      </c>
      <c r="K31" s="58">
        <v>27</v>
      </c>
      <c r="L31" s="59">
        <v>29.1</v>
      </c>
    </row>
    <row r="32" spans="1:12" x14ac:dyDescent="0.55000000000000004">
      <c r="A32" s="275"/>
      <c r="B32" s="95" t="s">
        <v>173</v>
      </c>
      <c r="C32" s="96">
        <v>15.8</v>
      </c>
      <c r="D32" s="58">
        <v>15.9</v>
      </c>
      <c r="E32" s="58">
        <v>18.100000000000001</v>
      </c>
      <c r="F32" s="58">
        <v>19.2</v>
      </c>
      <c r="G32" s="58">
        <v>20.3</v>
      </c>
      <c r="H32" s="58">
        <v>24.6</v>
      </c>
      <c r="I32" s="58">
        <v>25.7</v>
      </c>
      <c r="J32" s="58">
        <v>26.8</v>
      </c>
      <c r="K32" s="58">
        <v>29</v>
      </c>
      <c r="L32" s="59">
        <v>31.2</v>
      </c>
    </row>
    <row r="33" spans="1:12" x14ac:dyDescent="0.55000000000000004">
      <c r="A33" s="275"/>
      <c r="B33" s="95" t="s">
        <v>49</v>
      </c>
      <c r="C33" s="96">
        <v>41</v>
      </c>
      <c r="D33" s="58">
        <v>42</v>
      </c>
      <c r="E33" s="58">
        <v>45</v>
      </c>
      <c r="F33" s="58">
        <v>47</v>
      </c>
      <c r="G33" s="58">
        <v>49</v>
      </c>
      <c r="H33" s="58">
        <v>55</v>
      </c>
      <c r="I33" s="58">
        <v>56</v>
      </c>
      <c r="J33" s="58">
        <v>58</v>
      </c>
      <c r="K33" s="58">
        <v>62</v>
      </c>
      <c r="L33" s="59">
        <v>65</v>
      </c>
    </row>
    <row r="34" spans="1:12" x14ac:dyDescent="0.55000000000000004">
      <c r="A34" s="275"/>
      <c r="B34" s="95" t="s">
        <v>126</v>
      </c>
      <c r="C34" s="96">
        <v>16.3</v>
      </c>
      <c r="D34" s="58">
        <v>16.399999999999999</v>
      </c>
      <c r="E34" s="58">
        <v>17.5</v>
      </c>
      <c r="F34" s="58">
        <v>18.100000000000001</v>
      </c>
      <c r="G34" s="58">
        <v>18.7</v>
      </c>
      <c r="H34" s="58">
        <v>20.9</v>
      </c>
      <c r="I34" s="58">
        <v>21.4</v>
      </c>
      <c r="J34" s="58">
        <v>22</v>
      </c>
      <c r="K34" s="58">
        <v>23.2</v>
      </c>
      <c r="L34" s="59">
        <v>24.3</v>
      </c>
    </row>
    <row r="35" spans="1:12" x14ac:dyDescent="0.55000000000000004">
      <c r="A35" s="275"/>
      <c r="B35" s="95" t="s">
        <v>127</v>
      </c>
      <c r="C35" s="96">
        <v>0.83</v>
      </c>
      <c r="D35" s="58">
        <v>0.84</v>
      </c>
      <c r="E35" s="58">
        <v>0.86</v>
      </c>
      <c r="F35" s="58">
        <v>0.87</v>
      </c>
      <c r="G35" s="58">
        <v>0.88</v>
      </c>
      <c r="H35" s="58">
        <v>0.91</v>
      </c>
      <c r="I35" s="58">
        <v>0.92</v>
      </c>
      <c r="J35" s="58">
        <v>0.93</v>
      </c>
      <c r="K35" s="58">
        <v>0.95</v>
      </c>
      <c r="L35" s="59">
        <v>0.97</v>
      </c>
    </row>
    <row r="36" spans="1:12" x14ac:dyDescent="0.55000000000000004">
      <c r="A36" s="275"/>
      <c r="B36" s="95" t="s">
        <v>30</v>
      </c>
      <c r="C36" s="96">
        <v>418</v>
      </c>
      <c r="D36" s="58">
        <v>419</v>
      </c>
      <c r="E36" s="58">
        <v>456</v>
      </c>
      <c r="F36" s="58">
        <v>475</v>
      </c>
      <c r="G36" s="58">
        <v>493</v>
      </c>
      <c r="H36" s="58">
        <v>566</v>
      </c>
      <c r="I36" s="58">
        <v>585</v>
      </c>
      <c r="J36" s="58">
        <v>603</v>
      </c>
      <c r="K36" s="58">
        <v>640</v>
      </c>
      <c r="L36" s="59">
        <v>677</v>
      </c>
    </row>
    <row r="37" spans="1:12" ht="18.5" thickBot="1" x14ac:dyDescent="0.6">
      <c r="A37" s="278"/>
      <c r="B37" s="101" t="s">
        <v>174</v>
      </c>
      <c r="C37" s="102">
        <v>56</v>
      </c>
      <c r="D37" s="103">
        <v>54</v>
      </c>
      <c r="E37" s="103">
        <v>53</v>
      </c>
      <c r="F37" s="103">
        <v>52</v>
      </c>
      <c r="G37" s="103">
        <v>49</v>
      </c>
      <c r="H37" s="103">
        <v>47</v>
      </c>
      <c r="I37" s="103">
        <v>46</v>
      </c>
      <c r="J37" s="103">
        <v>45</v>
      </c>
      <c r="K37" s="103">
        <v>44</v>
      </c>
      <c r="L37" s="104">
        <v>42</v>
      </c>
    </row>
    <row r="38" spans="1:12" x14ac:dyDescent="0.55000000000000004">
      <c r="A38" s="274" t="s">
        <v>178</v>
      </c>
      <c r="B38" s="94" t="s">
        <v>170</v>
      </c>
      <c r="C38" s="53">
        <v>0.65</v>
      </c>
      <c r="D38" s="55">
        <v>0.66</v>
      </c>
      <c r="E38" s="55">
        <v>0.83</v>
      </c>
      <c r="F38" s="55">
        <v>0.91</v>
      </c>
      <c r="G38" s="55">
        <v>0.99</v>
      </c>
      <c r="H38" s="55">
        <v>1.31</v>
      </c>
      <c r="I38" s="55">
        <v>1.39</v>
      </c>
      <c r="J38" s="55">
        <v>1.48</v>
      </c>
      <c r="K38" s="55">
        <v>1.64</v>
      </c>
      <c r="L38" s="54">
        <v>1.81</v>
      </c>
    </row>
    <row r="39" spans="1:12" x14ac:dyDescent="0.55000000000000004">
      <c r="A39" s="275"/>
      <c r="B39" s="95" t="s">
        <v>171</v>
      </c>
      <c r="C39" s="96">
        <v>133</v>
      </c>
      <c r="D39" s="58">
        <v>134</v>
      </c>
      <c r="E39" s="58">
        <v>144</v>
      </c>
      <c r="F39" s="58">
        <v>149</v>
      </c>
      <c r="G39" s="58">
        <v>153</v>
      </c>
      <c r="H39" s="58">
        <v>171</v>
      </c>
      <c r="I39" s="58">
        <v>176</v>
      </c>
      <c r="J39" s="58">
        <v>181</v>
      </c>
      <c r="K39" s="58">
        <v>190</v>
      </c>
      <c r="L39" s="59">
        <v>200</v>
      </c>
    </row>
    <row r="40" spans="1:12" x14ac:dyDescent="0.55000000000000004">
      <c r="A40" s="275"/>
      <c r="B40" s="95" t="s">
        <v>172</v>
      </c>
      <c r="C40" s="96">
        <v>15.6</v>
      </c>
      <c r="D40" s="58">
        <v>15.7</v>
      </c>
      <c r="E40" s="58">
        <v>17.8</v>
      </c>
      <c r="F40" s="58">
        <v>18.8</v>
      </c>
      <c r="G40" s="58">
        <v>19.899999999999999</v>
      </c>
      <c r="H40" s="58">
        <v>24</v>
      </c>
      <c r="I40" s="58">
        <v>25</v>
      </c>
      <c r="J40" s="58">
        <v>26.1</v>
      </c>
      <c r="K40" s="58">
        <v>28.2</v>
      </c>
      <c r="L40" s="59">
        <v>30.3</v>
      </c>
    </row>
    <row r="41" spans="1:12" x14ac:dyDescent="0.55000000000000004">
      <c r="A41" s="275"/>
      <c r="B41" s="95" t="s">
        <v>173</v>
      </c>
      <c r="C41" s="96">
        <v>17.5</v>
      </c>
      <c r="D41" s="58">
        <v>17.600000000000001</v>
      </c>
      <c r="E41" s="58">
        <v>19.8</v>
      </c>
      <c r="F41" s="58">
        <v>20.9</v>
      </c>
      <c r="G41" s="58">
        <v>22</v>
      </c>
      <c r="H41" s="58">
        <v>26.3</v>
      </c>
      <c r="I41" s="58">
        <v>27.4</v>
      </c>
      <c r="J41" s="58">
        <v>28.5</v>
      </c>
      <c r="K41" s="58">
        <v>30.7</v>
      </c>
      <c r="L41" s="59">
        <v>32.9</v>
      </c>
    </row>
    <row r="42" spans="1:12" x14ac:dyDescent="0.55000000000000004">
      <c r="A42" s="275"/>
      <c r="B42" s="95" t="s">
        <v>49</v>
      </c>
      <c r="C42" s="96">
        <v>41</v>
      </c>
      <c r="D42" s="58">
        <v>42</v>
      </c>
      <c r="E42" s="58">
        <v>46</v>
      </c>
      <c r="F42" s="58">
        <v>48</v>
      </c>
      <c r="G42" s="58">
        <v>49</v>
      </c>
      <c r="H42" s="58">
        <v>55</v>
      </c>
      <c r="I42" s="58">
        <v>57</v>
      </c>
      <c r="J42" s="58">
        <v>59</v>
      </c>
      <c r="K42" s="58">
        <v>62</v>
      </c>
      <c r="L42" s="59">
        <v>66</v>
      </c>
    </row>
    <row r="43" spans="1:12" x14ac:dyDescent="0.55000000000000004">
      <c r="A43" s="275"/>
      <c r="B43" s="95" t="s">
        <v>126</v>
      </c>
      <c r="C43" s="96">
        <v>17.600000000000001</v>
      </c>
      <c r="D43" s="58">
        <v>17.7</v>
      </c>
      <c r="E43" s="58">
        <v>18.8</v>
      </c>
      <c r="F43" s="58">
        <v>19.399999999999999</v>
      </c>
      <c r="G43" s="58">
        <v>20</v>
      </c>
      <c r="H43" s="58">
        <v>22.2</v>
      </c>
      <c r="I43" s="58">
        <v>22.8</v>
      </c>
      <c r="J43" s="58">
        <v>23.3</v>
      </c>
      <c r="K43" s="58">
        <v>24.5</v>
      </c>
      <c r="L43" s="59">
        <v>25.6</v>
      </c>
    </row>
    <row r="44" spans="1:12" x14ac:dyDescent="0.55000000000000004">
      <c r="A44" s="275"/>
      <c r="B44" s="95" t="s">
        <v>127</v>
      </c>
      <c r="C44" s="96">
        <v>0.83</v>
      </c>
      <c r="D44" s="58">
        <v>0.84</v>
      </c>
      <c r="E44" s="58">
        <v>0.86</v>
      </c>
      <c r="F44" s="58">
        <v>0.87</v>
      </c>
      <c r="G44" s="58">
        <v>0.88</v>
      </c>
      <c r="H44" s="58">
        <v>0.91</v>
      </c>
      <c r="I44" s="58">
        <v>0.92</v>
      </c>
      <c r="J44" s="58">
        <v>0.93</v>
      </c>
      <c r="K44" s="58">
        <v>0.95</v>
      </c>
      <c r="L44" s="59">
        <v>0.97</v>
      </c>
    </row>
    <row r="45" spans="1:12" x14ac:dyDescent="0.55000000000000004">
      <c r="A45" s="275"/>
      <c r="B45" s="95" t="s">
        <v>30</v>
      </c>
      <c r="C45" s="96">
        <v>442</v>
      </c>
      <c r="D45" s="58">
        <v>443</v>
      </c>
      <c r="E45" s="58">
        <v>480</v>
      </c>
      <c r="F45" s="58">
        <v>499</v>
      </c>
      <c r="G45" s="58">
        <v>517</v>
      </c>
      <c r="H45" s="58">
        <v>590</v>
      </c>
      <c r="I45" s="58">
        <v>609</v>
      </c>
      <c r="J45" s="58">
        <v>627</v>
      </c>
      <c r="K45" s="58">
        <v>664</v>
      </c>
      <c r="L45" s="59">
        <v>701</v>
      </c>
    </row>
    <row r="46" spans="1:12" ht="18.5" thickBot="1" x14ac:dyDescent="0.6">
      <c r="A46" s="276"/>
      <c r="B46" s="101" t="s">
        <v>174</v>
      </c>
      <c r="C46" s="98">
        <v>54</v>
      </c>
      <c r="D46" s="61">
        <v>52</v>
      </c>
      <c r="E46" s="61">
        <v>50</v>
      </c>
      <c r="F46" s="61">
        <v>49</v>
      </c>
      <c r="G46" s="61">
        <v>47</v>
      </c>
      <c r="H46" s="61">
        <v>45</v>
      </c>
      <c r="I46" s="61">
        <v>43</v>
      </c>
      <c r="J46" s="61">
        <v>42</v>
      </c>
      <c r="K46" s="61">
        <v>41</v>
      </c>
      <c r="L46" s="62">
        <v>40</v>
      </c>
    </row>
    <row r="47" spans="1:12" x14ac:dyDescent="0.55000000000000004">
      <c r="A47" s="277" t="s">
        <v>179</v>
      </c>
      <c r="B47" s="99" t="s">
        <v>170</v>
      </c>
      <c r="C47" s="60">
        <v>0.73</v>
      </c>
      <c r="D47" s="57">
        <v>0.74</v>
      </c>
      <c r="E47" s="57">
        <v>0.91</v>
      </c>
      <c r="F47" s="57">
        <v>0.99</v>
      </c>
      <c r="G47" s="57">
        <v>1.07</v>
      </c>
      <c r="H47" s="57">
        <v>1.39</v>
      </c>
      <c r="I47" s="57">
        <v>1.48</v>
      </c>
      <c r="J47" s="57">
        <v>1.56</v>
      </c>
      <c r="K47" s="57">
        <v>1.72</v>
      </c>
      <c r="L47" s="100">
        <v>1.89</v>
      </c>
    </row>
    <row r="48" spans="1:12" x14ac:dyDescent="0.55000000000000004">
      <c r="A48" s="275"/>
      <c r="B48" s="95" t="s">
        <v>171</v>
      </c>
      <c r="C48" s="96">
        <v>142</v>
      </c>
      <c r="D48" s="58">
        <v>143</v>
      </c>
      <c r="E48" s="58">
        <v>152</v>
      </c>
      <c r="F48" s="58">
        <v>157</v>
      </c>
      <c r="G48" s="58">
        <v>162</v>
      </c>
      <c r="H48" s="58">
        <v>180</v>
      </c>
      <c r="I48" s="58">
        <v>185</v>
      </c>
      <c r="J48" s="58">
        <v>189</v>
      </c>
      <c r="K48" s="58">
        <v>199</v>
      </c>
      <c r="L48" s="59">
        <v>208</v>
      </c>
    </row>
    <row r="49" spans="1:12" x14ac:dyDescent="0.55000000000000004">
      <c r="A49" s="275"/>
      <c r="B49" s="95" t="s">
        <v>172</v>
      </c>
      <c r="C49" s="96">
        <v>16.7</v>
      </c>
      <c r="D49" s="58">
        <v>16.8</v>
      </c>
      <c r="E49" s="58">
        <v>18.899999999999999</v>
      </c>
      <c r="F49" s="58">
        <v>20</v>
      </c>
      <c r="G49" s="58">
        <v>21</v>
      </c>
      <c r="H49" s="58">
        <v>25.1</v>
      </c>
      <c r="I49" s="58">
        <v>26.2</v>
      </c>
      <c r="J49" s="58">
        <v>27.2</v>
      </c>
      <c r="K49" s="58">
        <v>29.3</v>
      </c>
      <c r="L49" s="59">
        <v>31.4</v>
      </c>
    </row>
    <row r="50" spans="1:12" x14ac:dyDescent="0.55000000000000004">
      <c r="A50" s="275"/>
      <c r="B50" s="95" t="s">
        <v>173</v>
      </c>
      <c r="C50" s="96">
        <v>19</v>
      </c>
      <c r="D50" s="58">
        <v>19.100000000000001</v>
      </c>
      <c r="E50" s="58">
        <v>21.3</v>
      </c>
      <c r="F50" s="58">
        <v>22.4</v>
      </c>
      <c r="G50" s="58">
        <v>23.5</v>
      </c>
      <c r="H50" s="58">
        <v>27.8</v>
      </c>
      <c r="I50" s="58">
        <v>28.9</v>
      </c>
      <c r="J50" s="58">
        <v>30</v>
      </c>
      <c r="K50" s="58">
        <v>32.200000000000003</v>
      </c>
      <c r="L50" s="59">
        <v>34.4</v>
      </c>
    </row>
    <row r="51" spans="1:12" x14ac:dyDescent="0.55000000000000004">
      <c r="A51" s="275"/>
      <c r="B51" s="95" t="s">
        <v>49</v>
      </c>
      <c r="C51" s="96">
        <v>42</v>
      </c>
      <c r="D51" s="58">
        <v>43</v>
      </c>
      <c r="E51" s="58">
        <v>47</v>
      </c>
      <c r="F51" s="58">
        <v>48</v>
      </c>
      <c r="G51" s="58">
        <v>50</v>
      </c>
      <c r="H51" s="58">
        <v>56</v>
      </c>
      <c r="I51" s="58">
        <v>58</v>
      </c>
      <c r="J51" s="58">
        <v>60</v>
      </c>
      <c r="K51" s="58">
        <v>63</v>
      </c>
      <c r="L51" s="59">
        <v>67</v>
      </c>
    </row>
    <row r="52" spans="1:12" x14ac:dyDescent="0.55000000000000004">
      <c r="A52" s="275"/>
      <c r="B52" s="95" t="s">
        <v>126</v>
      </c>
      <c r="C52" s="96">
        <v>18.600000000000001</v>
      </c>
      <c r="D52" s="58">
        <v>18.7</v>
      </c>
      <c r="E52" s="58">
        <v>19.899999999999999</v>
      </c>
      <c r="F52" s="58">
        <v>20.399999999999999</v>
      </c>
      <c r="G52" s="58">
        <v>21</v>
      </c>
      <c r="H52" s="58">
        <v>23.2</v>
      </c>
      <c r="I52" s="58">
        <v>23.8</v>
      </c>
      <c r="J52" s="58">
        <v>24.4</v>
      </c>
      <c r="K52" s="58">
        <v>25.5</v>
      </c>
      <c r="L52" s="59">
        <v>26.7</v>
      </c>
    </row>
    <row r="53" spans="1:12" x14ac:dyDescent="0.55000000000000004">
      <c r="A53" s="275"/>
      <c r="B53" s="95" t="s">
        <v>127</v>
      </c>
      <c r="C53" s="96">
        <v>0.84</v>
      </c>
      <c r="D53" s="58">
        <v>0.85</v>
      </c>
      <c r="E53" s="58">
        <v>0.87</v>
      </c>
      <c r="F53" s="58">
        <v>0.88</v>
      </c>
      <c r="G53" s="58">
        <v>0.89</v>
      </c>
      <c r="H53" s="58">
        <v>0.92</v>
      </c>
      <c r="I53" s="58">
        <v>0.93</v>
      </c>
      <c r="J53" s="58">
        <v>0.94</v>
      </c>
      <c r="K53" s="58">
        <v>0.96</v>
      </c>
      <c r="L53" s="59">
        <v>0.98</v>
      </c>
    </row>
    <row r="54" spans="1:12" x14ac:dyDescent="0.55000000000000004">
      <c r="A54" s="275"/>
      <c r="B54" s="95" t="s">
        <v>30</v>
      </c>
      <c r="C54" s="96">
        <v>465</v>
      </c>
      <c r="D54" s="58">
        <v>466</v>
      </c>
      <c r="E54" s="58">
        <v>503</v>
      </c>
      <c r="F54" s="58">
        <v>521</v>
      </c>
      <c r="G54" s="58">
        <v>540</v>
      </c>
      <c r="H54" s="58">
        <v>613</v>
      </c>
      <c r="I54" s="58">
        <v>631</v>
      </c>
      <c r="J54" s="58">
        <v>650</v>
      </c>
      <c r="K54" s="58">
        <v>687</v>
      </c>
      <c r="L54" s="59">
        <v>724</v>
      </c>
    </row>
    <row r="55" spans="1:12" ht="18.5" thickBot="1" x14ac:dyDescent="0.6">
      <c r="A55" s="278"/>
      <c r="B55" s="101" t="s">
        <v>174</v>
      </c>
      <c r="C55" s="102">
        <v>52</v>
      </c>
      <c r="D55" s="103">
        <v>50</v>
      </c>
      <c r="E55" s="103">
        <v>49</v>
      </c>
      <c r="F55" s="103">
        <v>48</v>
      </c>
      <c r="G55" s="103">
        <v>45</v>
      </c>
      <c r="H55" s="103">
        <v>43</v>
      </c>
      <c r="I55" s="103">
        <v>42</v>
      </c>
      <c r="J55" s="103">
        <v>41</v>
      </c>
      <c r="K55" s="103">
        <v>39</v>
      </c>
      <c r="L55" s="104">
        <v>38</v>
      </c>
    </row>
    <row r="56" spans="1:12" x14ac:dyDescent="0.55000000000000004">
      <c r="A56" s="274" t="s">
        <v>180</v>
      </c>
      <c r="B56" s="94" t="s">
        <v>170</v>
      </c>
      <c r="C56" s="53">
        <v>0.81</v>
      </c>
      <c r="D56" s="55">
        <v>0.82</v>
      </c>
      <c r="E56" s="55">
        <v>0.98</v>
      </c>
      <c r="F56" s="55">
        <v>1.06</v>
      </c>
      <c r="G56" s="55">
        <v>1.1499999999999999</v>
      </c>
      <c r="H56" s="55">
        <v>1.47</v>
      </c>
      <c r="I56" s="55">
        <v>1.55</v>
      </c>
      <c r="J56" s="55">
        <v>1.63</v>
      </c>
      <c r="K56" s="55">
        <v>1.8</v>
      </c>
      <c r="L56" s="54">
        <v>1.96</v>
      </c>
    </row>
    <row r="57" spans="1:12" x14ac:dyDescent="0.55000000000000004">
      <c r="A57" s="275"/>
      <c r="B57" s="95" t="s">
        <v>171</v>
      </c>
      <c r="C57" s="96">
        <v>150</v>
      </c>
      <c r="D57" s="58">
        <v>151</v>
      </c>
      <c r="E57" s="58">
        <v>160</v>
      </c>
      <c r="F57" s="58">
        <v>165</v>
      </c>
      <c r="G57" s="58">
        <v>170</v>
      </c>
      <c r="H57" s="58">
        <v>188</v>
      </c>
      <c r="I57" s="58">
        <v>192</v>
      </c>
      <c r="J57" s="58">
        <v>197</v>
      </c>
      <c r="K57" s="58">
        <v>207</v>
      </c>
      <c r="L57" s="59">
        <v>216</v>
      </c>
    </row>
    <row r="58" spans="1:12" x14ac:dyDescent="0.55000000000000004">
      <c r="A58" s="275"/>
      <c r="B58" s="95" t="s">
        <v>172</v>
      </c>
      <c r="C58" s="96">
        <v>17.8</v>
      </c>
      <c r="D58" s="58">
        <v>17.899999999999999</v>
      </c>
      <c r="E58" s="58">
        <v>20</v>
      </c>
      <c r="F58" s="58">
        <v>21</v>
      </c>
      <c r="G58" s="58">
        <v>22.1</v>
      </c>
      <c r="H58" s="58">
        <v>26.2</v>
      </c>
      <c r="I58" s="58">
        <v>27.2</v>
      </c>
      <c r="J58" s="58">
        <v>28.3</v>
      </c>
      <c r="K58" s="58">
        <v>30.4</v>
      </c>
      <c r="L58" s="59">
        <v>32.5</v>
      </c>
    </row>
    <row r="59" spans="1:12" x14ac:dyDescent="0.55000000000000004">
      <c r="A59" s="275"/>
      <c r="B59" s="95" t="s">
        <v>173</v>
      </c>
      <c r="C59" s="96">
        <v>20.3</v>
      </c>
      <c r="D59" s="58">
        <v>20.399999999999999</v>
      </c>
      <c r="E59" s="58">
        <v>22.6</v>
      </c>
      <c r="F59" s="58">
        <v>23.7</v>
      </c>
      <c r="G59" s="58">
        <v>24.8</v>
      </c>
      <c r="H59" s="58">
        <v>29.1</v>
      </c>
      <c r="I59" s="58">
        <v>30.2</v>
      </c>
      <c r="J59" s="58">
        <v>31.3</v>
      </c>
      <c r="K59" s="58">
        <v>33.5</v>
      </c>
      <c r="L59" s="59">
        <v>35.700000000000003</v>
      </c>
    </row>
    <row r="60" spans="1:12" x14ac:dyDescent="0.55000000000000004">
      <c r="A60" s="275"/>
      <c r="B60" s="95" t="s">
        <v>49</v>
      </c>
      <c r="C60" s="96">
        <v>43</v>
      </c>
      <c r="D60" s="58">
        <v>44</v>
      </c>
      <c r="E60" s="58">
        <v>47</v>
      </c>
      <c r="F60" s="58">
        <v>49</v>
      </c>
      <c r="G60" s="58">
        <v>51</v>
      </c>
      <c r="H60" s="58">
        <v>57</v>
      </c>
      <c r="I60" s="58">
        <v>59</v>
      </c>
      <c r="J60" s="58">
        <v>60</v>
      </c>
      <c r="K60" s="58">
        <v>64</v>
      </c>
      <c r="L60" s="59">
        <v>67</v>
      </c>
    </row>
    <row r="61" spans="1:12" x14ac:dyDescent="0.55000000000000004">
      <c r="A61" s="275"/>
      <c r="B61" s="95" t="s">
        <v>126</v>
      </c>
      <c r="C61" s="96">
        <v>19.399999999999999</v>
      </c>
      <c r="D61" s="58">
        <v>19.5</v>
      </c>
      <c r="E61" s="58">
        <v>20.7</v>
      </c>
      <c r="F61" s="58">
        <v>21.2</v>
      </c>
      <c r="G61" s="58">
        <v>21.8</v>
      </c>
      <c r="H61" s="58">
        <v>24</v>
      </c>
      <c r="I61" s="58">
        <v>24.6</v>
      </c>
      <c r="J61" s="58">
        <v>25.2</v>
      </c>
      <c r="K61" s="58">
        <v>26.3</v>
      </c>
      <c r="L61" s="59">
        <v>27.5</v>
      </c>
    </row>
    <row r="62" spans="1:12" x14ac:dyDescent="0.55000000000000004">
      <c r="A62" s="275"/>
      <c r="B62" s="95" t="s">
        <v>127</v>
      </c>
      <c r="C62" s="96">
        <v>0.84</v>
      </c>
      <c r="D62" s="58">
        <v>0.85</v>
      </c>
      <c r="E62" s="58">
        <v>0.87</v>
      </c>
      <c r="F62" s="58">
        <v>0.88</v>
      </c>
      <c r="G62" s="58">
        <v>0.89</v>
      </c>
      <c r="H62" s="58">
        <v>0.92</v>
      </c>
      <c r="I62" s="58">
        <v>0.93</v>
      </c>
      <c r="J62" s="58">
        <v>0.94</v>
      </c>
      <c r="K62" s="58">
        <v>0.96</v>
      </c>
      <c r="L62" s="59">
        <v>0.98</v>
      </c>
    </row>
    <row r="63" spans="1:12" x14ac:dyDescent="0.55000000000000004">
      <c r="A63" s="275"/>
      <c r="B63" s="95" t="s">
        <v>30</v>
      </c>
      <c r="C63" s="96">
        <v>486</v>
      </c>
      <c r="D63" s="58">
        <v>487</v>
      </c>
      <c r="E63" s="58">
        <v>524</v>
      </c>
      <c r="F63" s="58">
        <v>542</v>
      </c>
      <c r="G63" s="58">
        <v>561</v>
      </c>
      <c r="H63" s="58">
        <v>634</v>
      </c>
      <c r="I63" s="58">
        <v>652</v>
      </c>
      <c r="J63" s="58">
        <v>671</v>
      </c>
      <c r="K63" s="58">
        <v>708</v>
      </c>
      <c r="L63" s="59">
        <v>745</v>
      </c>
    </row>
    <row r="64" spans="1:12" ht="18.5" thickBot="1" x14ac:dyDescent="0.6">
      <c r="A64" s="276"/>
      <c r="B64" s="97" t="s">
        <v>174</v>
      </c>
      <c r="C64" s="98">
        <v>51</v>
      </c>
      <c r="D64" s="61">
        <v>49</v>
      </c>
      <c r="E64" s="61">
        <v>48</v>
      </c>
      <c r="F64" s="61">
        <v>46</v>
      </c>
      <c r="G64" s="61">
        <v>44</v>
      </c>
      <c r="H64" s="61">
        <v>42</v>
      </c>
      <c r="I64" s="61">
        <v>41</v>
      </c>
      <c r="J64" s="61">
        <v>39</v>
      </c>
      <c r="K64" s="61">
        <v>38</v>
      </c>
      <c r="L64" s="62">
        <v>37</v>
      </c>
    </row>
    <row r="65" spans="1:12" x14ac:dyDescent="0.55000000000000004">
      <c r="A65" s="277" t="s">
        <v>181</v>
      </c>
      <c r="B65" s="99" t="s">
        <v>170</v>
      </c>
      <c r="C65" s="60">
        <v>0.87</v>
      </c>
      <c r="D65" s="57">
        <v>0.88</v>
      </c>
      <c r="E65" s="57">
        <v>1.05</v>
      </c>
      <c r="F65" s="57">
        <v>1.1299999999999999</v>
      </c>
      <c r="G65" s="57">
        <v>1.21</v>
      </c>
      <c r="H65" s="57">
        <v>1.53</v>
      </c>
      <c r="I65" s="57">
        <v>1.61</v>
      </c>
      <c r="J65" s="57">
        <v>1.7</v>
      </c>
      <c r="K65" s="57">
        <v>1.86</v>
      </c>
      <c r="L65" s="100">
        <v>2.0299999999999998</v>
      </c>
    </row>
    <row r="66" spans="1:12" x14ac:dyDescent="0.55000000000000004">
      <c r="A66" s="275"/>
      <c r="B66" s="95" t="s">
        <v>171</v>
      </c>
      <c r="C66" s="96">
        <v>156</v>
      </c>
      <c r="D66" s="58">
        <v>157</v>
      </c>
      <c r="E66" s="58">
        <v>167</v>
      </c>
      <c r="F66" s="58">
        <v>171</v>
      </c>
      <c r="G66" s="58">
        <v>176</v>
      </c>
      <c r="H66" s="58">
        <v>194</v>
      </c>
      <c r="I66" s="58">
        <v>199</v>
      </c>
      <c r="J66" s="58">
        <v>204</v>
      </c>
      <c r="K66" s="58">
        <v>213</v>
      </c>
      <c r="L66" s="59">
        <v>223</v>
      </c>
    </row>
    <row r="67" spans="1:12" x14ac:dyDescent="0.55000000000000004">
      <c r="A67" s="275"/>
      <c r="B67" s="95" t="s">
        <v>172</v>
      </c>
      <c r="C67" s="96">
        <v>18.7</v>
      </c>
      <c r="D67" s="58">
        <v>18.8</v>
      </c>
      <c r="E67" s="58">
        <v>20.9</v>
      </c>
      <c r="F67" s="58">
        <v>22</v>
      </c>
      <c r="G67" s="58">
        <v>23</v>
      </c>
      <c r="H67" s="58">
        <v>27.1</v>
      </c>
      <c r="I67" s="58">
        <v>28.2</v>
      </c>
      <c r="J67" s="58">
        <v>29.2</v>
      </c>
      <c r="K67" s="58">
        <v>31.3</v>
      </c>
      <c r="L67" s="59">
        <v>33.4</v>
      </c>
    </row>
    <row r="68" spans="1:12" x14ac:dyDescent="0.55000000000000004">
      <c r="A68" s="275"/>
      <c r="B68" s="95" t="s">
        <v>173</v>
      </c>
      <c r="C68" s="96">
        <v>21.5</v>
      </c>
      <c r="D68" s="58">
        <v>21.6</v>
      </c>
      <c r="E68" s="58">
        <v>23.8</v>
      </c>
      <c r="F68" s="58">
        <v>24.9</v>
      </c>
      <c r="G68" s="58">
        <v>26</v>
      </c>
      <c r="H68" s="58">
        <v>30.3</v>
      </c>
      <c r="I68" s="58">
        <v>31.4</v>
      </c>
      <c r="J68" s="58">
        <v>32.5</v>
      </c>
      <c r="K68" s="58">
        <v>34.700000000000003</v>
      </c>
      <c r="L68" s="59">
        <v>36.9</v>
      </c>
    </row>
    <row r="69" spans="1:12" x14ac:dyDescent="0.55000000000000004">
      <c r="A69" s="275"/>
      <c r="B69" s="95" t="s">
        <v>49</v>
      </c>
      <c r="C69" s="96">
        <v>44</v>
      </c>
      <c r="D69" s="58">
        <v>45</v>
      </c>
      <c r="E69" s="58">
        <v>48</v>
      </c>
      <c r="F69" s="58">
        <v>50</v>
      </c>
      <c r="G69" s="58">
        <v>52</v>
      </c>
      <c r="H69" s="58">
        <v>58</v>
      </c>
      <c r="I69" s="58">
        <v>59</v>
      </c>
      <c r="J69" s="58">
        <v>61</v>
      </c>
      <c r="K69" s="58">
        <v>65</v>
      </c>
      <c r="L69" s="59">
        <v>68</v>
      </c>
    </row>
    <row r="70" spans="1:12" x14ac:dyDescent="0.55000000000000004">
      <c r="A70" s="275"/>
      <c r="B70" s="95" t="s">
        <v>126</v>
      </c>
      <c r="C70" s="96">
        <v>20</v>
      </c>
      <c r="D70" s="58">
        <v>20.100000000000001</v>
      </c>
      <c r="E70" s="58">
        <v>21.3</v>
      </c>
      <c r="F70" s="58">
        <v>21.8</v>
      </c>
      <c r="G70" s="58">
        <v>22.4</v>
      </c>
      <c r="H70" s="58">
        <v>24.6</v>
      </c>
      <c r="I70" s="58">
        <v>25.2</v>
      </c>
      <c r="J70" s="58">
        <v>25.8</v>
      </c>
      <c r="K70" s="58">
        <v>26.9</v>
      </c>
      <c r="L70" s="59">
        <v>28.1</v>
      </c>
    </row>
    <row r="71" spans="1:12" x14ac:dyDescent="0.55000000000000004">
      <c r="A71" s="275"/>
      <c r="B71" s="95" t="s">
        <v>127</v>
      </c>
      <c r="C71" s="96">
        <v>0.84</v>
      </c>
      <c r="D71" s="58">
        <v>0.85</v>
      </c>
      <c r="E71" s="58">
        <v>0.87</v>
      </c>
      <c r="F71" s="58">
        <v>0.88</v>
      </c>
      <c r="G71" s="58">
        <v>0.89</v>
      </c>
      <c r="H71" s="58">
        <v>0.92</v>
      </c>
      <c r="I71" s="58">
        <v>0.93</v>
      </c>
      <c r="J71" s="58">
        <v>0.94</v>
      </c>
      <c r="K71" s="58">
        <v>0.96</v>
      </c>
      <c r="L71" s="59">
        <v>0.98</v>
      </c>
    </row>
    <row r="72" spans="1:12" x14ac:dyDescent="0.55000000000000004">
      <c r="A72" s="275"/>
      <c r="B72" s="95" t="s">
        <v>30</v>
      </c>
      <c r="C72" s="96">
        <v>505</v>
      </c>
      <c r="D72" s="58">
        <v>506</v>
      </c>
      <c r="E72" s="58">
        <v>543</v>
      </c>
      <c r="F72" s="58">
        <v>561</v>
      </c>
      <c r="G72" s="58">
        <v>580</v>
      </c>
      <c r="H72" s="58">
        <v>653</v>
      </c>
      <c r="I72" s="58">
        <v>671</v>
      </c>
      <c r="J72" s="58">
        <v>690</v>
      </c>
      <c r="K72" s="58">
        <v>727</v>
      </c>
      <c r="L72" s="59">
        <v>764</v>
      </c>
    </row>
    <row r="73" spans="1:12" ht="18.5" thickBot="1" x14ac:dyDescent="0.6">
      <c r="A73" s="278"/>
      <c r="B73" s="97" t="s">
        <v>174</v>
      </c>
      <c r="C73" s="102">
        <v>50</v>
      </c>
      <c r="D73" s="103">
        <v>48</v>
      </c>
      <c r="E73" s="103">
        <v>47</v>
      </c>
      <c r="F73" s="103">
        <v>46</v>
      </c>
      <c r="G73" s="103">
        <v>43</v>
      </c>
      <c r="H73" s="103">
        <v>41</v>
      </c>
      <c r="I73" s="103">
        <v>40</v>
      </c>
      <c r="J73" s="103">
        <v>39</v>
      </c>
      <c r="K73" s="103">
        <v>38</v>
      </c>
      <c r="L73" s="104">
        <v>36</v>
      </c>
    </row>
    <row r="74" spans="1:12" x14ac:dyDescent="0.55000000000000004">
      <c r="A74" s="274" t="s">
        <v>182</v>
      </c>
      <c r="B74" s="94" t="s">
        <v>170</v>
      </c>
      <c r="C74" s="53">
        <v>0.93</v>
      </c>
      <c r="D74" s="55">
        <v>0.94</v>
      </c>
      <c r="E74" s="55">
        <v>1.1000000000000001</v>
      </c>
      <c r="F74" s="55">
        <v>1.18</v>
      </c>
      <c r="G74" s="55">
        <v>1.27</v>
      </c>
      <c r="H74" s="55">
        <v>1.59</v>
      </c>
      <c r="I74" s="55">
        <v>1.67</v>
      </c>
      <c r="J74" s="55">
        <v>1.75</v>
      </c>
      <c r="K74" s="55">
        <v>1.92</v>
      </c>
      <c r="L74" s="54">
        <v>2.08</v>
      </c>
    </row>
    <row r="75" spans="1:12" x14ac:dyDescent="0.55000000000000004">
      <c r="A75" s="275"/>
      <c r="B75" s="95" t="s">
        <v>171</v>
      </c>
      <c r="C75" s="96">
        <v>162</v>
      </c>
      <c r="D75" s="58">
        <v>163</v>
      </c>
      <c r="E75" s="58">
        <v>172</v>
      </c>
      <c r="F75" s="58">
        <v>177</v>
      </c>
      <c r="G75" s="58">
        <v>182</v>
      </c>
      <c r="H75" s="58">
        <v>200</v>
      </c>
      <c r="I75" s="58">
        <v>204</v>
      </c>
      <c r="J75" s="58">
        <v>209</v>
      </c>
      <c r="K75" s="58">
        <v>219</v>
      </c>
      <c r="L75" s="59">
        <v>228</v>
      </c>
    </row>
    <row r="76" spans="1:12" x14ac:dyDescent="0.55000000000000004">
      <c r="A76" s="275"/>
      <c r="B76" s="95" t="s">
        <v>172</v>
      </c>
      <c r="C76" s="96">
        <v>19.600000000000001</v>
      </c>
      <c r="D76" s="58">
        <v>19.7</v>
      </c>
      <c r="E76" s="58">
        <v>21.8</v>
      </c>
      <c r="F76" s="58">
        <v>22.8</v>
      </c>
      <c r="G76" s="58">
        <v>23.9</v>
      </c>
      <c r="H76" s="58">
        <v>28</v>
      </c>
      <c r="I76" s="58">
        <v>29</v>
      </c>
      <c r="J76" s="58">
        <v>30.1</v>
      </c>
      <c r="K76" s="58">
        <v>32.200000000000003</v>
      </c>
      <c r="L76" s="59">
        <v>34.299999999999997</v>
      </c>
    </row>
    <row r="77" spans="1:12" x14ac:dyDescent="0.55000000000000004">
      <c r="A77" s="275"/>
      <c r="B77" s="95" t="s">
        <v>173</v>
      </c>
      <c r="C77" s="96">
        <v>22.4</v>
      </c>
      <c r="D77" s="58">
        <v>22.5</v>
      </c>
      <c r="E77" s="58">
        <v>24.7</v>
      </c>
      <c r="F77" s="58">
        <v>25.8</v>
      </c>
      <c r="G77" s="58">
        <v>26.9</v>
      </c>
      <c r="H77" s="58">
        <v>31.2</v>
      </c>
      <c r="I77" s="58">
        <v>32.299999999999997</v>
      </c>
      <c r="J77" s="58">
        <v>33.4</v>
      </c>
      <c r="K77" s="58">
        <v>35.6</v>
      </c>
      <c r="L77" s="59">
        <v>37.799999999999997</v>
      </c>
    </row>
    <row r="78" spans="1:12" x14ac:dyDescent="0.55000000000000004">
      <c r="A78" s="275"/>
      <c r="B78" s="95" t="s">
        <v>49</v>
      </c>
      <c r="C78" s="96">
        <v>44</v>
      </c>
      <c r="D78" s="58">
        <v>45</v>
      </c>
      <c r="E78" s="58">
        <v>49</v>
      </c>
      <c r="F78" s="58">
        <v>50</v>
      </c>
      <c r="G78" s="58">
        <v>52</v>
      </c>
      <c r="H78" s="58">
        <v>58</v>
      </c>
      <c r="I78" s="58">
        <v>60</v>
      </c>
      <c r="J78" s="58">
        <v>62</v>
      </c>
      <c r="K78" s="58">
        <v>65</v>
      </c>
      <c r="L78" s="59">
        <v>69</v>
      </c>
    </row>
    <row r="79" spans="1:12" x14ac:dyDescent="0.55000000000000004">
      <c r="A79" s="275"/>
      <c r="B79" s="95" t="s">
        <v>126</v>
      </c>
      <c r="C79" s="96">
        <v>20.399999999999999</v>
      </c>
      <c r="D79" s="58">
        <v>20.5</v>
      </c>
      <c r="E79" s="58">
        <v>21.7</v>
      </c>
      <c r="F79" s="58">
        <v>22.3</v>
      </c>
      <c r="G79" s="58">
        <v>22.8</v>
      </c>
      <c r="H79" s="58">
        <v>25</v>
      </c>
      <c r="I79" s="58">
        <v>25.6</v>
      </c>
      <c r="J79" s="58">
        <v>26.2</v>
      </c>
      <c r="K79" s="58">
        <v>27.3</v>
      </c>
      <c r="L79" s="59">
        <v>28.5</v>
      </c>
    </row>
    <row r="80" spans="1:12" x14ac:dyDescent="0.55000000000000004">
      <c r="A80" s="275"/>
      <c r="B80" s="95" t="s">
        <v>127</v>
      </c>
      <c r="C80" s="96">
        <v>0.84</v>
      </c>
      <c r="D80" s="58">
        <v>0.85</v>
      </c>
      <c r="E80" s="58">
        <v>0.87</v>
      </c>
      <c r="F80" s="58">
        <v>0.88</v>
      </c>
      <c r="G80" s="58">
        <v>0.89</v>
      </c>
      <c r="H80" s="58">
        <v>0.92</v>
      </c>
      <c r="I80" s="58">
        <v>0.93</v>
      </c>
      <c r="J80" s="58">
        <v>0.94</v>
      </c>
      <c r="K80" s="58">
        <v>0.96</v>
      </c>
      <c r="L80" s="59">
        <v>0.98</v>
      </c>
    </row>
    <row r="81" spans="1:12" x14ac:dyDescent="0.55000000000000004">
      <c r="A81" s="275"/>
      <c r="B81" s="95" t="s">
        <v>30</v>
      </c>
      <c r="C81" s="96">
        <v>522</v>
      </c>
      <c r="D81" s="58">
        <v>523</v>
      </c>
      <c r="E81" s="58">
        <v>560</v>
      </c>
      <c r="F81" s="58">
        <v>579</v>
      </c>
      <c r="G81" s="58">
        <v>597</v>
      </c>
      <c r="H81" s="58">
        <v>670</v>
      </c>
      <c r="I81" s="58">
        <v>689</v>
      </c>
      <c r="J81" s="58">
        <v>707</v>
      </c>
      <c r="K81" s="58">
        <v>744</v>
      </c>
      <c r="L81" s="59">
        <v>781</v>
      </c>
    </row>
    <row r="82" spans="1:12" ht="18.5" thickBot="1" x14ac:dyDescent="0.6">
      <c r="A82" s="276"/>
      <c r="B82" s="97" t="s">
        <v>174</v>
      </c>
      <c r="C82" s="98">
        <v>50</v>
      </c>
      <c r="D82" s="61">
        <v>48</v>
      </c>
      <c r="E82" s="61">
        <v>46</v>
      </c>
      <c r="F82" s="61">
        <v>45</v>
      </c>
      <c r="G82" s="61">
        <v>43</v>
      </c>
      <c r="H82" s="61">
        <v>41</v>
      </c>
      <c r="I82" s="61">
        <v>39</v>
      </c>
      <c r="J82" s="61">
        <v>38</v>
      </c>
      <c r="K82" s="61">
        <v>37</v>
      </c>
      <c r="L82" s="62">
        <v>36</v>
      </c>
    </row>
    <row r="83" spans="1:12" x14ac:dyDescent="0.55000000000000004">
      <c r="A83" s="277" t="s">
        <v>183</v>
      </c>
      <c r="B83" s="99" t="s">
        <v>170</v>
      </c>
      <c r="C83" s="60">
        <v>0.97</v>
      </c>
      <c r="D83" s="57">
        <v>0.98</v>
      </c>
      <c r="E83" s="57">
        <v>1.1499999999999999</v>
      </c>
      <c r="F83" s="57">
        <v>1.23</v>
      </c>
      <c r="G83" s="57">
        <v>1.31</v>
      </c>
      <c r="H83" s="57">
        <v>1.63</v>
      </c>
      <c r="I83" s="57">
        <v>1.72</v>
      </c>
      <c r="J83" s="57">
        <v>1.8</v>
      </c>
      <c r="K83" s="57">
        <v>1.96</v>
      </c>
      <c r="L83" s="100">
        <v>2.13</v>
      </c>
    </row>
    <row r="84" spans="1:12" x14ac:dyDescent="0.55000000000000004">
      <c r="A84" s="275"/>
      <c r="B84" s="95" t="s">
        <v>171</v>
      </c>
      <c r="C84" s="96">
        <v>166</v>
      </c>
      <c r="D84" s="58">
        <v>167</v>
      </c>
      <c r="E84" s="58">
        <v>177</v>
      </c>
      <c r="F84" s="58">
        <v>182</v>
      </c>
      <c r="G84" s="58">
        <v>186</v>
      </c>
      <c r="H84" s="58">
        <v>204</v>
      </c>
      <c r="I84" s="58">
        <v>209</v>
      </c>
      <c r="J84" s="58">
        <v>214</v>
      </c>
      <c r="K84" s="58">
        <v>223</v>
      </c>
      <c r="L84" s="59">
        <v>233</v>
      </c>
    </row>
    <row r="85" spans="1:12" x14ac:dyDescent="0.55000000000000004">
      <c r="A85" s="275"/>
      <c r="B85" s="95" t="s">
        <v>172</v>
      </c>
      <c r="C85" s="96">
        <v>20.3</v>
      </c>
      <c r="D85" s="58">
        <v>20.399999999999999</v>
      </c>
      <c r="E85" s="58">
        <v>22.5</v>
      </c>
      <c r="F85" s="58">
        <v>23.6</v>
      </c>
      <c r="G85" s="58">
        <v>24.6</v>
      </c>
      <c r="H85" s="58">
        <v>28.7</v>
      </c>
      <c r="I85" s="58">
        <v>29.8</v>
      </c>
      <c r="J85" s="58">
        <v>30.8</v>
      </c>
      <c r="K85" s="58">
        <v>32.9</v>
      </c>
      <c r="L85" s="59">
        <v>35</v>
      </c>
    </row>
    <row r="86" spans="1:12" x14ac:dyDescent="0.55000000000000004">
      <c r="A86" s="275"/>
      <c r="B86" s="95" t="s">
        <v>173</v>
      </c>
      <c r="C86" s="96">
        <v>23.3</v>
      </c>
      <c r="D86" s="58">
        <v>23.4</v>
      </c>
      <c r="E86" s="58">
        <v>25.6</v>
      </c>
      <c r="F86" s="58">
        <v>26.7</v>
      </c>
      <c r="G86" s="58">
        <v>27.8</v>
      </c>
      <c r="H86" s="58">
        <v>32.1</v>
      </c>
      <c r="I86" s="58">
        <v>33.200000000000003</v>
      </c>
      <c r="J86" s="58">
        <v>34.299999999999997</v>
      </c>
      <c r="K86" s="58">
        <v>36.5</v>
      </c>
      <c r="L86" s="59">
        <v>38.700000000000003</v>
      </c>
    </row>
    <row r="87" spans="1:12" x14ac:dyDescent="0.55000000000000004">
      <c r="A87" s="275"/>
      <c r="B87" s="95" t="s">
        <v>49</v>
      </c>
      <c r="C87" s="96">
        <v>45</v>
      </c>
      <c r="D87" s="58">
        <v>46</v>
      </c>
      <c r="E87" s="58">
        <v>49</v>
      </c>
      <c r="F87" s="58">
        <v>51</v>
      </c>
      <c r="G87" s="58">
        <v>53</v>
      </c>
      <c r="H87" s="58">
        <v>59</v>
      </c>
      <c r="I87" s="58">
        <v>60</v>
      </c>
      <c r="J87" s="58">
        <v>62</v>
      </c>
      <c r="K87" s="58">
        <v>66</v>
      </c>
      <c r="L87" s="59">
        <v>69</v>
      </c>
    </row>
    <row r="88" spans="1:12" x14ac:dyDescent="0.55000000000000004">
      <c r="A88" s="275"/>
      <c r="B88" s="95" t="s">
        <v>126</v>
      </c>
      <c r="C88" s="96">
        <v>20.7</v>
      </c>
      <c r="D88" s="58">
        <v>20.8</v>
      </c>
      <c r="E88" s="58">
        <v>22</v>
      </c>
      <c r="F88" s="58">
        <v>22.5</v>
      </c>
      <c r="G88" s="58">
        <v>23.1</v>
      </c>
      <c r="H88" s="58">
        <v>25.3</v>
      </c>
      <c r="I88" s="58">
        <v>25.9</v>
      </c>
      <c r="J88" s="58">
        <v>26.5</v>
      </c>
      <c r="K88" s="58">
        <v>27.6</v>
      </c>
      <c r="L88" s="59">
        <v>28.8</v>
      </c>
    </row>
    <row r="89" spans="1:12" x14ac:dyDescent="0.55000000000000004">
      <c r="A89" s="275"/>
      <c r="B89" s="95" t="s">
        <v>127</v>
      </c>
      <c r="C89" s="96">
        <v>0.85</v>
      </c>
      <c r="D89" s="58">
        <v>0.86</v>
      </c>
      <c r="E89" s="58">
        <v>0.88</v>
      </c>
      <c r="F89" s="58">
        <v>0.89</v>
      </c>
      <c r="G89" s="58">
        <v>0.9</v>
      </c>
      <c r="H89" s="58">
        <v>0.93</v>
      </c>
      <c r="I89" s="58">
        <v>0.94</v>
      </c>
      <c r="J89" s="58">
        <v>0.95</v>
      </c>
      <c r="K89" s="58">
        <v>0.97</v>
      </c>
      <c r="L89" s="59">
        <v>0.99</v>
      </c>
    </row>
    <row r="90" spans="1:12" x14ac:dyDescent="0.55000000000000004">
      <c r="A90" s="275"/>
      <c r="B90" s="95" t="s">
        <v>30</v>
      </c>
      <c r="C90" s="96">
        <v>538</v>
      </c>
      <c r="D90" s="58">
        <v>539</v>
      </c>
      <c r="E90" s="58">
        <v>576</v>
      </c>
      <c r="F90" s="58">
        <v>595</v>
      </c>
      <c r="G90" s="58">
        <v>613</v>
      </c>
      <c r="H90" s="58">
        <v>686</v>
      </c>
      <c r="I90" s="58">
        <v>705</v>
      </c>
      <c r="J90" s="58">
        <v>723</v>
      </c>
      <c r="K90" s="58">
        <v>760</v>
      </c>
      <c r="L90" s="59">
        <v>797</v>
      </c>
    </row>
    <row r="91" spans="1:12" ht="18.5" thickBot="1" x14ac:dyDescent="0.6">
      <c r="A91" s="276"/>
      <c r="B91" s="97" t="s">
        <v>174</v>
      </c>
      <c r="C91" s="98">
        <v>50</v>
      </c>
      <c r="D91" s="61">
        <v>47</v>
      </c>
      <c r="E91" s="61">
        <v>46</v>
      </c>
      <c r="F91" s="61">
        <v>45</v>
      </c>
      <c r="G91" s="61">
        <v>43</v>
      </c>
      <c r="H91" s="61">
        <v>40</v>
      </c>
      <c r="I91" s="61">
        <v>39</v>
      </c>
      <c r="J91" s="61">
        <v>38</v>
      </c>
      <c r="K91" s="61">
        <v>37</v>
      </c>
      <c r="L91" s="62">
        <v>36</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85DD-3844-4791-8EDB-D35753D72E8E}">
  <sheetPr codeName="Sheet20"/>
  <dimension ref="A1:C300"/>
  <sheetViews>
    <sheetView topLeftCell="A46" workbookViewId="0">
      <selection activeCell="A7" sqref="A7"/>
    </sheetView>
  </sheetViews>
  <sheetFormatPr defaultRowHeight="18" x14ac:dyDescent="0.55000000000000004"/>
  <cols>
    <col min="1" max="1" width="15.08203125" style="173" bestFit="1" customWidth="1"/>
    <col min="2" max="3" width="8.83203125" customWidth="1"/>
  </cols>
  <sheetData>
    <row r="1" spans="1:3" x14ac:dyDescent="0.55000000000000004">
      <c r="A1" s="173" t="s">
        <v>431</v>
      </c>
      <c r="B1">
        <v>2025</v>
      </c>
      <c r="C1">
        <v>1</v>
      </c>
    </row>
    <row r="2" spans="1:3" x14ac:dyDescent="0.55000000000000004">
      <c r="A2" s="173" t="s">
        <v>432</v>
      </c>
      <c r="B2">
        <v>2026</v>
      </c>
      <c r="C2">
        <v>2</v>
      </c>
    </row>
    <row r="3" spans="1:3" x14ac:dyDescent="0.55000000000000004">
      <c r="A3" s="173" t="s">
        <v>433</v>
      </c>
      <c r="B3">
        <v>2027</v>
      </c>
      <c r="C3">
        <v>3</v>
      </c>
    </row>
    <row r="4" spans="1:3" x14ac:dyDescent="0.55000000000000004">
      <c r="A4" s="173" t="s">
        <v>434</v>
      </c>
      <c r="C4">
        <v>4</v>
      </c>
    </row>
    <row r="5" spans="1:3" x14ac:dyDescent="0.55000000000000004">
      <c r="A5" s="173" t="s">
        <v>435</v>
      </c>
      <c r="C5">
        <v>5</v>
      </c>
    </row>
    <row r="6" spans="1:3" x14ac:dyDescent="0.55000000000000004">
      <c r="A6" s="173" t="s">
        <v>436</v>
      </c>
      <c r="C6">
        <v>6</v>
      </c>
    </row>
    <row r="7" spans="1:3" x14ac:dyDescent="0.55000000000000004">
      <c r="A7" s="173" t="s">
        <v>437</v>
      </c>
      <c r="C7">
        <v>6</v>
      </c>
    </row>
    <row r="8" spans="1:3" x14ac:dyDescent="0.55000000000000004">
      <c r="A8" s="173" t="s">
        <v>438</v>
      </c>
      <c r="C8">
        <v>7</v>
      </c>
    </row>
    <row r="9" spans="1:3" x14ac:dyDescent="0.55000000000000004">
      <c r="A9" s="173" t="s">
        <v>439</v>
      </c>
      <c r="C9">
        <v>8</v>
      </c>
    </row>
    <row r="10" spans="1:3" x14ac:dyDescent="0.55000000000000004">
      <c r="A10" s="173" t="s">
        <v>440</v>
      </c>
      <c r="C10">
        <v>9</v>
      </c>
    </row>
    <row r="11" spans="1:3" x14ac:dyDescent="0.55000000000000004">
      <c r="A11" s="173" t="s">
        <v>441</v>
      </c>
      <c r="C11">
        <v>10</v>
      </c>
    </row>
    <row r="12" spans="1:3" x14ac:dyDescent="0.55000000000000004">
      <c r="A12" s="173" t="s">
        <v>442</v>
      </c>
      <c r="C12">
        <v>11</v>
      </c>
    </row>
    <row r="13" spans="1:3" x14ac:dyDescent="0.55000000000000004">
      <c r="A13" s="173" t="s">
        <v>443</v>
      </c>
      <c r="C13">
        <v>12</v>
      </c>
    </row>
    <row r="14" spans="1:3" x14ac:dyDescent="0.55000000000000004">
      <c r="A14" s="173" t="s">
        <v>444</v>
      </c>
    </row>
    <row r="15" spans="1:3" x14ac:dyDescent="0.55000000000000004">
      <c r="A15" s="173" t="s">
        <v>445</v>
      </c>
    </row>
    <row r="16" spans="1:3" x14ac:dyDescent="0.55000000000000004">
      <c r="A16" s="173" t="s">
        <v>446</v>
      </c>
    </row>
    <row r="17" spans="1:1" x14ac:dyDescent="0.55000000000000004">
      <c r="A17" s="173" t="s">
        <v>447</v>
      </c>
    </row>
    <row r="18" spans="1:1" x14ac:dyDescent="0.55000000000000004">
      <c r="A18" s="173" t="s">
        <v>448</v>
      </c>
    </row>
    <row r="19" spans="1:1" x14ac:dyDescent="0.55000000000000004">
      <c r="A19" s="173" t="s">
        <v>449</v>
      </c>
    </row>
    <row r="20" spans="1:1" x14ac:dyDescent="0.55000000000000004">
      <c r="A20" s="173" t="s">
        <v>450</v>
      </c>
    </row>
    <row r="21" spans="1:1" x14ac:dyDescent="0.55000000000000004">
      <c r="A21" s="173" t="s">
        <v>451</v>
      </c>
    </row>
    <row r="22" spans="1:1" x14ac:dyDescent="0.55000000000000004">
      <c r="A22" s="173" t="s">
        <v>452</v>
      </c>
    </row>
    <row r="23" spans="1:1" x14ac:dyDescent="0.55000000000000004">
      <c r="A23" s="173" t="s">
        <v>453</v>
      </c>
    </row>
    <row r="24" spans="1:1" x14ac:dyDescent="0.55000000000000004">
      <c r="A24" s="173" t="s">
        <v>454</v>
      </c>
    </row>
    <row r="25" spans="1:1" x14ac:dyDescent="0.55000000000000004">
      <c r="A25" s="173" t="s">
        <v>455</v>
      </c>
    </row>
    <row r="26" spans="1:1" x14ac:dyDescent="0.55000000000000004">
      <c r="A26" s="173" t="s">
        <v>456</v>
      </c>
    </row>
    <row r="27" spans="1:1" x14ac:dyDescent="0.55000000000000004">
      <c r="A27" s="173" t="s">
        <v>457</v>
      </c>
    </row>
    <row r="28" spans="1:1" x14ac:dyDescent="0.55000000000000004">
      <c r="A28" s="173" t="s">
        <v>458</v>
      </c>
    </row>
    <row r="29" spans="1:1" x14ac:dyDescent="0.55000000000000004">
      <c r="A29" s="173" t="s">
        <v>459</v>
      </c>
    </row>
    <row r="30" spans="1:1" x14ac:dyDescent="0.55000000000000004">
      <c r="A30" s="173" t="s">
        <v>460</v>
      </c>
    </row>
    <row r="31" spans="1:1" x14ac:dyDescent="0.55000000000000004">
      <c r="A31" s="173" t="s">
        <v>461</v>
      </c>
    </row>
    <row r="32" spans="1:1" x14ac:dyDescent="0.55000000000000004">
      <c r="A32" s="173" t="s">
        <v>462</v>
      </c>
    </row>
    <row r="33" spans="1:1" x14ac:dyDescent="0.55000000000000004">
      <c r="A33" s="173" t="s">
        <v>463</v>
      </c>
    </row>
    <row r="34" spans="1:1" x14ac:dyDescent="0.55000000000000004">
      <c r="A34" s="173" t="s">
        <v>464</v>
      </c>
    </row>
    <row r="35" spans="1:1" x14ac:dyDescent="0.55000000000000004">
      <c r="A35" s="173" t="s">
        <v>465</v>
      </c>
    </row>
    <row r="36" spans="1:1" x14ac:dyDescent="0.55000000000000004">
      <c r="A36" s="173" t="s">
        <v>466</v>
      </c>
    </row>
    <row r="37" spans="1:1" x14ac:dyDescent="0.55000000000000004">
      <c r="A37" s="173" t="s">
        <v>467</v>
      </c>
    </row>
    <row r="38" spans="1:1" x14ac:dyDescent="0.55000000000000004">
      <c r="A38" s="173" t="s">
        <v>468</v>
      </c>
    </row>
    <row r="39" spans="1:1" x14ac:dyDescent="0.55000000000000004">
      <c r="A39" s="173" t="s">
        <v>469</v>
      </c>
    </row>
    <row r="40" spans="1:1" x14ac:dyDescent="0.55000000000000004">
      <c r="A40" s="173" t="s">
        <v>470</v>
      </c>
    </row>
    <row r="41" spans="1:1" x14ac:dyDescent="0.55000000000000004">
      <c r="A41" s="173" t="s">
        <v>471</v>
      </c>
    </row>
    <row r="42" spans="1:1" x14ac:dyDescent="0.55000000000000004">
      <c r="A42" s="173" t="s">
        <v>472</v>
      </c>
    </row>
    <row r="43" spans="1:1" x14ac:dyDescent="0.55000000000000004">
      <c r="A43" s="173" t="s">
        <v>473</v>
      </c>
    </row>
    <row r="44" spans="1:1" x14ac:dyDescent="0.55000000000000004">
      <c r="A44" s="173" t="s">
        <v>474</v>
      </c>
    </row>
    <row r="45" spans="1:1" x14ac:dyDescent="0.55000000000000004">
      <c r="A45" s="173" t="s">
        <v>475</v>
      </c>
    </row>
    <row r="46" spans="1:1" x14ac:dyDescent="0.55000000000000004">
      <c r="A46" s="173" t="s">
        <v>476</v>
      </c>
    </row>
    <row r="47" spans="1:1" x14ac:dyDescent="0.55000000000000004">
      <c r="A47" s="173" t="s">
        <v>477</v>
      </c>
    </row>
    <row r="48" spans="1:1" x14ac:dyDescent="0.55000000000000004">
      <c r="A48" s="173" t="s">
        <v>478</v>
      </c>
    </row>
    <row r="49" spans="1:1" x14ac:dyDescent="0.55000000000000004">
      <c r="A49" s="173" t="s">
        <v>479</v>
      </c>
    </row>
    <row r="50" spans="1:1" x14ac:dyDescent="0.55000000000000004">
      <c r="A50" s="173" t="s">
        <v>480</v>
      </c>
    </row>
    <row r="51" spans="1:1" x14ac:dyDescent="0.55000000000000004">
      <c r="A51" s="173" t="s">
        <v>481</v>
      </c>
    </row>
    <row r="52" spans="1:1" x14ac:dyDescent="0.55000000000000004">
      <c r="A52" s="173" t="s">
        <v>482</v>
      </c>
    </row>
    <row r="53" spans="1:1" x14ac:dyDescent="0.55000000000000004">
      <c r="A53" s="173" t="s">
        <v>483</v>
      </c>
    </row>
    <row r="54" spans="1:1" x14ac:dyDescent="0.55000000000000004">
      <c r="A54" s="173" t="s">
        <v>484</v>
      </c>
    </row>
    <row r="55" spans="1:1" x14ac:dyDescent="0.55000000000000004">
      <c r="A55" s="173" t="s">
        <v>485</v>
      </c>
    </row>
    <row r="56" spans="1:1" x14ac:dyDescent="0.55000000000000004">
      <c r="A56" s="173" t="s">
        <v>486</v>
      </c>
    </row>
    <row r="57" spans="1:1" x14ac:dyDescent="0.55000000000000004">
      <c r="A57" s="173" t="s">
        <v>487</v>
      </c>
    </row>
    <row r="58" spans="1:1" x14ac:dyDescent="0.55000000000000004">
      <c r="A58" s="173" t="s">
        <v>488</v>
      </c>
    </row>
    <row r="59" spans="1:1" x14ac:dyDescent="0.55000000000000004">
      <c r="A59" s="173" t="s">
        <v>489</v>
      </c>
    </row>
    <row r="60" spans="1:1" x14ac:dyDescent="0.55000000000000004">
      <c r="A60" s="173" t="s">
        <v>490</v>
      </c>
    </row>
    <row r="61" spans="1:1" x14ac:dyDescent="0.55000000000000004">
      <c r="A61" s="173" t="s">
        <v>491</v>
      </c>
    </row>
    <row r="62" spans="1:1" x14ac:dyDescent="0.55000000000000004">
      <c r="A62" s="173" t="s">
        <v>492</v>
      </c>
    </row>
    <row r="63" spans="1:1" x14ac:dyDescent="0.55000000000000004">
      <c r="A63" s="173" t="s">
        <v>493</v>
      </c>
    </row>
    <row r="64" spans="1:1" x14ac:dyDescent="0.55000000000000004">
      <c r="A64" s="173" t="s">
        <v>494</v>
      </c>
    </row>
    <row r="65" spans="1:1" x14ac:dyDescent="0.55000000000000004">
      <c r="A65" s="173" t="s">
        <v>495</v>
      </c>
    </row>
    <row r="66" spans="1:1" x14ac:dyDescent="0.55000000000000004">
      <c r="A66" s="173" t="s">
        <v>496</v>
      </c>
    </row>
    <row r="67" spans="1:1" x14ac:dyDescent="0.55000000000000004">
      <c r="A67" s="173" t="s">
        <v>497</v>
      </c>
    </row>
    <row r="68" spans="1:1" x14ac:dyDescent="0.55000000000000004">
      <c r="A68" s="173" t="s">
        <v>498</v>
      </c>
    </row>
    <row r="69" spans="1:1" x14ac:dyDescent="0.55000000000000004">
      <c r="A69" s="173" t="s">
        <v>499</v>
      </c>
    </row>
    <row r="70" spans="1:1" x14ac:dyDescent="0.55000000000000004">
      <c r="A70" s="173" t="s">
        <v>500</v>
      </c>
    </row>
    <row r="71" spans="1:1" x14ac:dyDescent="0.55000000000000004">
      <c r="A71" s="173" t="s">
        <v>501</v>
      </c>
    </row>
    <row r="72" spans="1:1" x14ac:dyDescent="0.55000000000000004">
      <c r="A72" s="173" t="s">
        <v>502</v>
      </c>
    </row>
    <row r="73" spans="1:1" x14ac:dyDescent="0.55000000000000004">
      <c r="A73" s="173" t="s">
        <v>503</v>
      </c>
    </row>
    <row r="74" spans="1:1" x14ac:dyDescent="0.55000000000000004">
      <c r="A74" s="173" t="s">
        <v>504</v>
      </c>
    </row>
    <row r="75" spans="1:1" x14ac:dyDescent="0.55000000000000004">
      <c r="A75" s="173" t="s">
        <v>505</v>
      </c>
    </row>
    <row r="76" spans="1:1" x14ac:dyDescent="0.55000000000000004">
      <c r="A76" s="173" t="s">
        <v>506</v>
      </c>
    </row>
    <row r="77" spans="1:1" x14ac:dyDescent="0.55000000000000004">
      <c r="A77" s="173" t="s">
        <v>507</v>
      </c>
    </row>
    <row r="78" spans="1:1" x14ac:dyDescent="0.55000000000000004">
      <c r="A78" s="173" t="e">
        <v>#REF!</v>
      </c>
    </row>
    <row r="79" spans="1:1" x14ac:dyDescent="0.55000000000000004">
      <c r="A79" s="173" t="e">
        <v>#REF!</v>
      </c>
    </row>
    <row r="80" spans="1:1" x14ac:dyDescent="0.55000000000000004">
      <c r="A80" s="173" t="e">
        <v>#REF!</v>
      </c>
    </row>
    <row r="81" spans="1:1" x14ac:dyDescent="0.55000000000000004">
      <c r="A81" s="173" t="e">
        <v>#REF!</v>
      </c>
    </row>
    <row r="82" spans="1:1" x14ac:dyDescent="0.55000000000000004">
      <c r="A82" s="173" t="e">
        <v>#REF!</v>
      </c>
    </row>
    <row r="83" spans="1:1" x14ac:dyDescent="0.55000000000000004">
      <c r="A83" s="173" t="e">
        <v>#REF!</v>
      </c>
    </row>
    <row r="84" spans="1:1" x14ac:dyDescent="0.55000000000000004">
      <c r="A84" s="173" t="e">
        <v>#REF!</v>
      </c>
    </row>
    <row r="85" spans="1:1" x14ac:dyDescent="0.55000000000000004">
      <c r="A85" s="173" t="e">
        <v>#REF!</v>
      </c>
    </row>
    <row r="86" spans="1:1" x14ac:dyDescent="0.55000000000000004">
      <c r="A86" s="173" t="e">
        <v>#REF!</v>
      </c>
    </row>
    <row r="87" spans="1:1" x14ac:dyDescent="0.55000000000000004">
      <c r="A87" s="173" t="e">
        <v>#REF!</v>
      </c>
    </row>
    <row r="88" spans="1:1" x14ac:dyDescent="0.55000000000000004">
      <c r="A88" s="173" t="e">
        <v>#REF!</v>
      </c>
    </row>
    <row r="89" spans="1:1" x14ac:dyDescent="0.55000000000000004">
      <c r="A89" s="173" t="e">
        <v>#REF!</v>
      </c>
    </row>
    <row r="90" spans="1:1" x14ac:dyDescent="0.55000000000000004">
      <c r="A90" s="173" t="e">
        <v>#REF!</v>
      </c>
    </row>
    <row r="91" spans="1:1" x14ac:dyDescent="0.55000000000000004">
      <c r="A91" s="173" t="e">
        <v>#REF!</v>
      </c>
    </row>
    <row r="92" spans="1:1" x14ac:dyDescent="0.55000000000000004">
      <c r="A92" s="173" t="e">
        <v>#REF!</v>
      </c>
    </row>
    <row r="93" spans="1:1" x14ac:dyDescent="0.55000000000000004">
      <c r="A93" s="173" t="e">
        <v>#REF!</v>
      </c>
    </row>
    <row r="94" spans="1:1" x14ac:dyDescent="0.55000000000000004">
      <c r="A94" s="173" t="e">
        <v>#REF!</v>
      </c>
    </row>
    <row r="95" spans="1:1" x14ac:dyDescent="0.55000000000000004">
      <c r="A95" s="173" t="e">
        <v>#REF!</v>
      </c>
    </row>
    <row r="96" spans="1:1" x14ac:dyDescent="0.55000000000000004">
      <c r="A96" s="173" t="e">
        <v>#REF!</v>
      </c>
    </row>
    <row r="97" spans="1:1" x14ac:dyDescent="0.55000000000000004">
      <c r="A97" s="173" t="e">
        <v>#REF!</v>
      </c>
    </row>
    <row r="98" spans="1:1" x14ac:dyDescent="0.55000000000000004">
      <c r="A98" s="173" t="e">
        <v>#REF!</v>
      </c>
    </row>
    <row r="99" spans="1:1" x14ac:dyDescent="0.55000000000000004">
      <c r="A99" s="173" t="e">
        <v>#REF!</v>
      </c>
    </row>
    <row r="100" spans="1:1" x14ac:dyDescent="0.55000000000000004">
      <c r="A100" s="173" t="e">
        <v>#REF!</v>
      </c>
    </row>
    <row r="101" spans="1:1" x14ac:dyDescent="0.55000000000000004">
      <c r="A101" s="173" t="e">
        <v>#REF!</v>
      </c>
    </row>
    <row r="102" spans="1:1" x14ac:dyDescent="0.55000000000000004">
      <c r="A102" s="173" t="e">
        <v>#REF!</v>
      </c>
    </row>
    <row r="103" spans="1:1" x14ac:dyDescent="0.55000000000000004">
      <c r="A103" s="173" t="e">
        <v>#REF!</v>
      </c>
    </row>
    <row r="104" spans="1:1" x14ac:dyDescent="0.55000000000000004">
      <c r="A104" s="173" t="e">
        <v>#REF!</v>
      </c>
    </row>
    <row r="105" spans="1:1" x14ac:dyDescent="0.55000000000000004">
      <c r="A105" s="173" t="e">
        <v>#REF!</v>
      </c>
    </row>
    <row r="106" spans="1:1" x14ac:dyDescent="0.55000000000000004">
      <c r="A106" s="173" t="e">
        <v>#REF!</v>
      </c>
    </row>
    <row r="107" spans="1:1" x14ac:dyDescent="0.55000000000000004">
      <c r="A107" s="173" t="e">
        <v>#REF!</v>
      </c>
    </row>
    <row r="108" spans="1:1" x14ac:dyDescent="0.55000000000000004">
      <c r="A108" s="173" t="e">
        <v>#REF!</v>
      </c>
    </row>
    <row r="109" spans="1:1" x14ac:dyDescent="0.55000000000000004">
      <c r="A109" s="173" t="e">
        <v>#REF!</v>
      </c>
    </row>
    <row r="110" spans="1:1" x14ac:dyDescent="0.55000000000000004">
      <c r="A110" s="173" t="e">
        <v>#REF!</v>
      </c>
    </row>
    <row r="111" spans="1:1" x14ac:dyDescent="0.55000000000000004">
      <c r="A111" s="173" t="e">
        <v>#REF!</v>
      </c>
    </row>
    <row r="112" spans="1:1" x14ac:dyDescent="0.55000000000000004">
      <c r="A112" s="173" t="e">
        <v>#REF!</v>
      </c>
    </row>
    <row r="113" spans="1:1" x14ac:dyDescent="0.55000000000000004">
      <c r="A113" s="173" t="e">
        <v>#REF!</v>
      </c>
    </row>
    <row r="114" spans="1:1" x14ac:dyDescent="0.55000000000000004">
      <c r="A114" s="173" t="e">
        <v>#REF!</v>
      </c>
    </row>
    <row r="115" spans="1:1" x14ac:dyDescent="0.55000000000000004">
      <c r="A115" s="173" t="e">
        <v>#REF!</v>
      </c>
    </row>
    <row r="116" spans="1:1" x14ac:dyDescent="0.55000000000000004">
      <c r="A116" s="173" t="e">
        <v>#REF!</v>
      </c>
    </row>
    <row r="117" spans="1:1" x14ac:dyDescent="0.55000000000000004">
      <c r="A117" s="173" t="e">
        <v>#REF!</v>
      </c>
    </row>
    <row r="118" spans="1:1" x14ac:dyDescent="0.55000000000000004">
      <c r="A118" s="173" t="e">
        <v>#REF!</v>
      </c>
    </row>
    <row r="119" spans="1:1" x14ac:dyDescent="0.55000000000000004">
      <c r="A119" s="173" t="e">
        <v>#REF!</v>
      </c>
    </row>
    <row r="120" spans="1:1" x14ac:dyDescent="0.55000000000000004">
      <c r="A120" s="173" t="e">
        <v>#REF!</v>
      </c>
    </row>
    <row r="121" spans="1:1" x14ac:dyDescent="0.55000000000000004">
      <c r="A121" s="173" t="e">
        <v>#REF!</v>
      </c>
    </row>
    <row r="122" spans="1:1" x14ac:dyDescent="0.55000000000000004">
      <c r="A122" s="173" t="e">
        <v>#REF!</v>
      </c>
    </row>
    <row r="123" spans="1:1" x14ac:dyDescent="0.55000000000000004">
      <c r="A123" s="173" t="e">
        <v>#REF!</v>
      </c>
    </row>
    <row r="124" spans="1:1" x14ac:dyDescent="0.55000000000000004">
      <c r="A124" s="173" t="e">
        <v>#REF!</v>
      </c>
    </row>
    <row r="125" spans="1:1" x14ac:dyDescent="0.55000000000000004">
      <c r="A125" s="173" t="e">
        <v>#REF!</v>
      </c>
    </row>
    <row r="126" spans="1:1" x14ac:dyDescent="0.55000000000000004">
      <c r="A126" s="173" t="e">
        <v>#REF!</v>
      </c>
    </row>
    <row r="127" spans="1:1" x14ac:dyDescent="0.55000000000000004">
      <c r="A127" s="173" t="e">
        <v>#REF!</v>
      </c>
    </row>
    <row r="128" spans="1:1" x14ac:dyDescent="0.55000000000000004">
      <c r="A128" s="173" t="e">
        <v>#REF!</v>
      </c>
    </row>
    <row r="129" spans="1:1" x14ac:dyDescent="0.55000000000000004">
      <c r="A129" s="173" t="e">
        <v>#REF!</v>
      </c>
    </row>
    <row r="130" spans="1:1" x14ac:dyDescent="0.55000000000000004">
      <c r="A130" s="173" t="e">
        <v>#REF!</v>
      </c>
    </row>
    <row r="131" spans="1:1" x14ac:dyDescent="0.55000000000000004">
      <c r="A131" s="173" t="e">
        <v>#REF!</v>
      </c>
    </row>
    <row r="132" spans="1:1" x14ac:dyDescent="0.55000000000000004">
      <c r="A132" s="173" t="e">
        <v>#REF!</v>
      </c>
    </row>
    <row r="133" spans="1:1" x14ac:dyDescent="0.55000000000000004">
      <c r="A133" s="173" t="e">
        <v>#REF!</v>
      </c>
    </row>
    <row r="134" spans="1:1" x14ac:dyDescent="0.55000000000000004">
      <c r="A134" s="173" t="e">
        <v>#REF!</v>
      </c>
    </row>
    <row r="135" spans="1:1" x14ac:dyDescent="0.55000000000000004">
      <c r="A135" s="173" t="e">
        <v>#REF!</v>
      </c>
    </row>
    <row r="136" spans="1:1" x14ac:dyDescent="0.55000000000000004">
      <c r="A136" s="173" t="e">
        <v>#REF!</v>
      </c>
    </row>
    <row r="137" spans="1:1" x14ac:dyDescent="0.55000000000000004">
      <c r="A137" s="173" t="e">
        <v>#REF!</v>
      </c>
    </row>
    <row r="138" spans="1:1" x14ac:dyDescent="0.55000000000000004">
      <c r="A138" s="173" t="e">
        <v>#REF!</v>
      </c>
    </row>
    <row r="139" spans="1:1" x14ac:dyDescent="0.55000000000000004">
      <c r="A139" s="173" t="e">
        <v>#REF!</v>
      </c>
    </row>
    <row r="140" spans="1:1" x14ac:dyDescent="0.55000000000000004">
      <c r="A140" s="173" t="e">
        <v>#REF!</v>
      </c>
    </row>
    <row r="141" spans="1:1" x14ac:dyDescent="0.55000000000000004">
      <c r="A141" s="173" t="e">
        <v>#REF!</v>
      </c>
    </row>
    <row r="142" spans="1:1" x14ac:dyDescent="0.55000000000000004">
      <c r="A142" s="173" t="e">
        <v>#REF!</v>
      </c>
    </row>
    <row r="143" spans="1:1" x14ac:dyDescent="0.55000000000000004">
      <c r="A143" s="173" t="e">
        <v>#REF!</v>
      </c>
    </row>
    <row r="144" spans="1:1" x14ac:dyDescent="0.55000000000000004">
      <c r="A144" s="173" t="e">
        <v>#REF!</v>
      </c>
    </row>
    <row r="145" spans="1:1" x14ac:dyDescent="0.55000000000000004">
      <c r="A145" s="173" t="e">
        <v>#REF!</v>
      </c>
    </row>
    <row r="146" spans="1:1" x14ac:dyDescent="0.55000000000000004">
      <c r="A146" s="173" t="e">
        <v>#REF!</v>
      </c>
    </row>
    <row r="147" spans="1:1" x14ac:dyDescent="0.55000000000000004">
      <c r="A147" s="173" t="e">
        <v>#REF!</v>
      </c>
    </row>
    <row r="148" spans="1:1" x14ac:dyDescent="0.55000000000000004">
      <c r="A148" s="173" t="e">
        <v>#REF!</v>
      </c>
    </row>
    <row r="149" spans="1:1" x14ac:dyDescent="0.55000000000000004">
      <c r="A149" s="173" t="e">
        <v>#REF!</v>
      </c>
    </row>
    <row r="150" spans="1:1" x14ac:dyDescent="0.55000000000000004">
      <c r="A150" s="173" t="e">
        <v>#REF!</v>
      </c>
    </row>
    <row r="151" spans="1:1" x14ac:dyDescent="0.55000000000000004">
      <c r="A151" s="173" t="e">
        <v>#REF!</v>
      </c>
    </row>
    <row r="152" spans="1:1" x14ac:dyDescent="0.55000000000000004">
      <c r="A152" s="173" t="e">
        <v>#REF!</v>
      </c>
    </row>
    <row r="153" spans="1:1" x14ac:dyDescent="0.55000000000000004">
      <c r="A153" s="173" t="e">
        <v>#REF!</v>
      </c>
    </row>
    <row r="154" spans="1:1" x14ac:dyDescent="0.55000000000000004">
      <c r="A154" s="173" t="e">
        <v>#REF!</v>
      </c>
    </row>
    <row r="155" spans="1:1" x14ac:dyDescent="0.55000000000000004">
      <c r="A155" s="173" t="e">
        <v>#REF!</v>
      </c>
    </row>
    <row r="156" spans="1:1" x14ac:dyDescent="0.55000000000000004">
      <c r="A156" s="173" t="e">
        <v>#REF!</v>
      </c>
    </row>
    <row r="157" spans="1:1" x14ac:dyDescent="0.55000000000000004">
      <c r="A157" s="173" t="e">
        <v>#REF!</v>
      </c>
    </row>
    <row r="158" spans="1:1" x14ac:dyDescent="0.55000000000000004">
      <c r="A158" s="173" t="e">
        <v>#REF!</v>
      </c>
    </row>
    <row r="159" spans="1:1" x14ac:dyDescent="0.55000000000000004">
      <c r="A159" s="173" t="e">
        <v>#REF!</v>
      </c>
    </row>
    <row r="160" spans="1:1" x14ac:dyDescent="0.55000000000000004">
      <c r="A160" s="173" t="e">
        <v>#REF!</v>
      </c>
    </row>
    <row r="161" spans="1:1" x14ac:dyDescent="0.55000000000000004">
      <c r="A161" s="173" t="e">
        <v>#REF!</v>
      </c>
    </row>
    <row r="162" spans="1:1" x14ac:dyDescent="0.55000000000000004">
      <c r="A162" s="173" t="e">
        <v>#REF!</v>
      </c>
    </row>
    <row r="163" spans="1:1" x14ac:dyDescent="0.55000000000000004">
      <c r="A163" s="173" t="e">
        <v>#REF!</v>
      </c>
    </row>
    <row r="164" spans="1:1" x14ac:dyDescent="0.55000000000000004">
      <c r="A164" s="173" t="e">
        <v>#REF!</v>
      </c>
    </row>
    <row r="165" spans="1:1" x14ac:dyDescent="0.55000000000000004">
      <c r="A165" s="173" t="e">
        <v>#REF!</v>
      </c>
    </row>
    <row r="166" spans="1:1" x14ac:dyDescent="0.55000000000000004">
      <c r="A166" s="173" t="e">
        <v>#REF!</v>
      </c>
    </row>
    <row r="167" spans="1:1" x14ac:dyDescent="0.55000000000000004">
      <c r="A167" s="173" t="e">
        <v>#REF!</v>
      </c>
    </row>
    <row r="168" spans="1:1" x14ac:dyDescent="0.55000000000000004">
      <c r="A168" s="173" t="e">
        <v>#REF!</v>
      </c>
    </row>
    <row r="169" spans="1:1" x14ac:dyDescent="0.55000000000000004">
      <c r="A169" s="173" t="e">
        <v>#REF!</v>
      </c>
    </row>
    <row r="170" spans="1:1" x14ac:dyDescent="0.55000000000000004">
      <c r="A170" s="173" t="e">
        <v>#REF!</v>
      </c>
    </row>
    <row r="171" spans="1:1" x14ac:dyDescent="0.55000000000000004">
      <c r="A171" s="173" t="e">
        <v>#REF!</v>
      </c>
    </row>
    <row r="172" spans="1:1" x14ac:dyDescent="0.55000000000000004">
      <c r="A172" s="173" t="e">
        <v>#REF!</v>
      </c>
    </row>
    <row r="173" spans="1:1" x14ac:dyDescent="0.55000000000000004">
      <c r="A173" s="173" t="e">
        <v>#REF!</v>
      </c>
    </row>
    <row r="174" spans="1:1" x14ac:dyDescent="0.55000000000000004">
      <c r="A174" s="173" t="e">
        <v>#REF!</v>
      </c>
    </row>
    <row r="175" spans="1:1" x14ac:dyDescent="0.55000000000000004">
      <c r="A175" s="173" t="e">
        <v>#REF!</v>
      </c>
    </row>
    <row r="176" spans="1:1" x14ac:dyDescent="0.55000000000000004">
      <c r="A176" s="173" t="e">
        <v>#REF!</v>
      </c>
    </row>
    <row r="177" spans="1:1" x14ac:dyDescent="0.55000000000000004">
      <c r="A177" s="173" t="e">
        <v>#REF!</v>
      </c>
    </row>
    <row r="178" spans="1:1" x14ac:dyDescent="0.55000000000000004">
      <c r="A178" s="173" t="e">
        <v>#REF!</v>
      </c>
    </row>
    <row r="179" spans="1:1" x14ac:dyDescent="0.55000000000000004">
      <c r="A179" s="173" t="e">
        <v>#REF!</v>
      </c>
    </row>
    <row r="180" spans="1:1" x14ac:dyDescent="0.55000000000000004">
      <c r="A180" s="173" t="e">
        <v>#REF!</v>
      </c>
    </row>
    <row r="181" spans="1:1" x14ac:dyDescent="0.55000000000000004">
      <c r="A181" s="173" t="e">
        <v>#REF!</v>
      </c>
    </row>
    <row r="182" spans="1:1" x14ac:dyDescent="0.55000000000000004">
      <c r="A182" s="173" t="e">
        <v>#REF!</v>
      </c>
    </row>
    <row r="183" spans="1:1" x14ac:dyDescent="0.55000000000000004">
      <c r="A183" s="173" t="e">
        <v>#REF!</v>
      </c>
    </row>
    <row r="184" spans="1:1" x14ac:dyDescent="0.55000000000000004">
      <c r="A184" s="173" t="e">
        <v>#REF!</v>
      </c>
    </row>
    <row r="185" spans="1:1" x14ac:dyDescent="0.55000000000000004">
      <c r="A185" s="173" t="e">
        <v>#REF!</v>
      </c>
    </row>
    <row r="186" spans="1:1" x14ac:dyDescent="0.55000000000000004">
      <c r="A186" s="173" t="e">
        <v>#REF!</v>
      </c>
    </row>
    <row r="187" spans="1:1" x14ac:dyDescent="0.55000000000000004">
      <c r="A187" s="173" t="e">
        <v>#REF!</v>
      </c>
    </row>
    <row r="188" spans="1:1" x14ac:dyDescent="0.55000000000000004">
      <c r="A188" s="173" t="e">
        <v>#REF!</v>
      </c>
    </row>
    <row r="189" spans="1:1" x14ac:dyDescent="0.55000000000000004">
      <c r="A189" s="173" t="e">
        <v>#REF!</v>
      </c>
    </row>
    <row r="190" spans="1:1" x14ac:dyDescent="0.55000000000000004">
      <c r="A190" s="173" t="e">
        <v>#REF!</v>
      </c>
    </row>
    <row r="191" spans="1:1" x14ac:dyDescent="0.55000000000000004">
      <c r="A191" s="173" t="e">
        <v>#REF!</v>
      </c>
    </row>
    <row r="192" spans="1:1" x14ac:dyDescent="0.55000000000000004">
      <c r="A192" s="173" t="e">
        <v>#REF!</v>
      </c>
    </row>
    <row r="193" spans="1:1" x14ac:dyDescent="0.55000000000000004">
      <c r="A193" s="173" t="e">
        <v>#REF!</v>
      </c>
    </row>
    <row r="194" spans="1:1" x14ac:dyDescent="0.55000000000000004">
      <c r="A194" s="173" t="e">
        <v>#REF!</v>
      </c>
    </row>
    <row r="195" spans="1:1" x14ac:dyDescent="0.55000000000000004">
      <c r="A195" s="173" t="e">
        <v>#REF!</v>
      </c>
    </row>
    <row r="196" spans="1:1" x14ac:dyDescent="0.55000000000000004">
      <c r="A196" s="173" t="e">
        <v>#REF!</v>
      </c>
    </row>
    <row r="197" spans="1:1" x14ac:dyDescent="0.55000000000000004">
      <c r="A197" s="173" t="e">
        <v>#REF!</v>
      </c>
    </row>
    <row r="198" spans="1:1" x14ac:dyDescent="0.55000000000000004">
      <c r="A198" s="173" t="e">
        <v>#REF!</v>
      </c>
    </row>
    <row r="199" spans="1:1" x14ac:dyDescent="0.55000000000000004">
      <c r="A199" s="173" t="e">
        <v>#REF!</v>
      </c>
    </row>
    <row r="200" spans="1:1" x14ac:dyDescent="0.55000000000000004">
      <c r="A200" s="173" t="e">
        <v>#REF!</v>
      </c>
    </row>
    <row r="201" spans="1:1" x14ac:dyDescent="0.55000000000000004">
      <c r="A201" s="173" t="e">
        <v>#REF!</v>
      </c>
    </row>
    <row r="202" spans="1:1" x14ac:dyDescent="0.55000000000000004">
      <c r="A202" s="173" t="e">
        <v>#REF!</v>
      </c>
    </row>
    <row r="203" spans="1:1" x14ac:dyDescent="0.55000000000000004">
      <c r="A203" s="173" t="e">
        <v>#REF!</v>
      </c>
    </row>
    <row r="204" spans="1:1" x14ac:dyDescent="0.55000000000000004">
      <c r="A204" s="173" t="e">
        <v>#REF!</v>
      </c>
    </row>
    <row r="205" spans="1:1" x14ac:dyDescent="0.55000000000000004">
      <c r="A205" s="173" t="e">
        <v>#REF!</v>
      </c>
    </row>
    <row r="206" spans="1:1" x14ac:dyDescent="0.55000000000000004">
      <c r="A206" s="173" t="e">
        <v>#REF!</v>
      </c>
    </row>
    <row r="207" spans="1:1" x14ac:dyDescent="0.55000000000000004">
      <c r="A207" s="173" t="e">
        <v>#REF!</v>
      </c>
    </row>
    <row r="208" spans="1:1" x14ac:dyDescent="0.55000000000000004">
      <c r="A208" s="173" t="e">
        <v>#REF!</v>
      </c>
    </row>
    <row r="209" spans="1:1" x14ac:dyDescent="0.55000000000000004">
      <c r="A209" s="173" t="e">
        <v>#REF!</v>
      </c>
    </row>
    <row r="210" spans="1:1" x14ac:dyDescent="0.55000000000000004">
      <c r="A210" s="173" t="e">
        <v>#REF!</v>
      </c>
    </row>
    <row r="211" spans="1:1" x14ac:dyDescent="0.55000000000000004">
      <c r="A211" s="173" t="e">
        <v>#REF!</v>
      </c>
    </row>
    <row r="212" spans="1:1" x14ac:dyDescent="0.55000000000000004">
      <c r="A212" s="173" t="e">
        <v>#REF!</v>
      </c>
    </row>
    <row r="213" spans="1:1" x14ac:dyDescent="0.55000000000000004">
      <c r="A213" s="173" t="e">
        <v>#REF!</v>
      </c>
    </row>
    <row r="214" spans="1:1" x14ac:dyDescent="0.55000000000000004">
      <c r="A214" s="173" t="e">
        <v>#REF!</v>
      </c>
    </row>
    <row r="215" spans="1:1" x14ac:dyDescent="0.55000000000000004">
      <c r="A215" s="173" t="e">
        <v>#REF!</v>
      </c>
    </row>
    <row r="216" spans="1:1" x14ac:dyDescent="0.55000000000000004">
      <c r="A216" s="173" t="e">
        <v>#REF!</v>
      </c>
    </row>
    <row r="217" spans="1:1" x14ac:dyDescent="0.55000000000000004">
      <c r="A217" s="173" t="e">
        <v>#REF!</v>
      </c>
    </row>
    <row r="218" spans="1:1" x14ac:dyDescent="0.55000000000000004">
      <c r="A218" s="173" t="e">
        <v>#REF!</v>
      </c>
    </row>
    <row r="219" spans="1:1" x14ac:dyDescent="0.55000000000000004">
      <c r="A219" s="173" t="e">
        <v>#REF!</v>
      </c>
    </row>
    <row r="220" spans="1:1" x14ac:dyDescent="0.55000000000000004">
      <c r="A220" s="173" t="e">
        <v>#REF!</v>
      </c>
    </row>
    <row r="221" spans="1:1" x14ac:dyDescent="0.55000000000000004">
      <c r="A221" s="173" t="e">
        <v>#REF!</v>
      </c>
    </row>
    <row r="222" spans="1:1" x14ac:dyDescent="0.55000000000000004">
      <c r="A222" s="173" t="e">
        <v>#REF!</v>
      </c>
    </row>
    <row r="223" spans="1:1" x14ac:dyDescent="0.55000000000000004">
      <c r="A223" s="173" t="e">
        <v>#REF!</v>
      </c>
    </row>
    <row r="224" spans="1:1" x14ac:dyDescent="0.55000000000000004">
      <c r="A224" s="173" t="e">
        <v>#REF!</v>
      </c>
    </row>
    <row r="225" spans="1:1" x14ac:dyDescent="0.55000000000000004">
      <c r="A225" s="173" t="e">
        <v>#REF!</v>
      </c>
    </row>
    <row r="226" spans="1:1" x14ac:dyDescent="0.55000000000000004">
      <c r="A226" s="173" t="e">
        <v>#REF!</v>
      </c>
    </row>
    <row r="227" spans="1:1" x14ac:dyDescent="0.55000000000000004">
      <c r="A227" s="173" t="e">
        <v>#REF!</v>
      </c>
    </row>
    <row r="228" spans="1:1" x14ac:dyDescent="0.55000000000000004">
      <c r="A228" s="173" t="e">
        <v>#REF!</v>
      </c>
    </row>
    <row r="229" spans="1:1" x14ac:dyDescent="0.55000000000000004">
      <c r="A229" s="173" t="e">
        <v>#REF!</v>
      </c>
    </row>
    <row r="230" spans="1:1" x14ac:dyDescent="0.55000000000000004">
      <c r="A230" s="173" t="e">
        <v>#REF!</v>
      </c>
    </row>
    <row r="231" spans="1:1" x14ac:dyDescent="0.55000000000000004">
      <c r="A231" s="173" t="e">
        <v>#REF!</v>
      </c>
    </row>
    <row r="232" spans="1:1" x14ac:dyDescent="0.55000000000000004">
      <c r="A232" s="173" t="e">
        <v>#REF!</v>
      </c>
    </row>
    <row r="233" spans="1:1" x14ac:dyDescent="0.55000000000000004">
      <c r="A233" s="173" t="e">
        <v>#REF!</v>
      </c>
    </row>
    <row r="234" spans="1:1" x14ac:dyDescent="0.55000000000000004">
      <c r="A234" s="173" t="e">
        <v>#REF!</v>
      </c>
    </row>
    <row r="235" spans="1:1" x14ac:dyDescent="0.55000000000000004">
      <c r="A235" s="173" t="e">
        <v>#REF!</v>
      </c>
    </row>
    <row r="236" spans="1:1" x14ac:dyDescent="0.55000000000000004">
      <c r="A236" s="173" t="e">
        <v>#REF!</v>
      </c>
    </row>
    <row r="237" spans="1:1" x14ac:dyDescent="0.55000000000000004">
      <c r="A237" s="173" t="e">
        <v>#REF!</v>
      </c>
    </row>
    <row r="238" spans="1:1" x14ac:dyDescent="0.55000000000000004">
      <c r="A238" s="173" t="e">
        <v>#REF!</v>
      </c>
    </row>
    <row r="239" spans="1:1" x14ac:dyDescent="0.55000000000000004">
      <c r="A239" s="173" t="e">
        <v>#REF!</v>
      </c>
    </row>
    <row r="240" spans="1:1" x14ac:dyDescent="0.55000000000000004">
      <c r="A240" s="173" t="e">
        <v>#REF!</v>
      </c>
    </row>
    <row r="241" spans="1:1" x14ac:dyDescent="0.55000000000000004">
      <c r="A241" s="173" t="e">
        <v>#REF!</v>
      </c>
    </row>
    <row r="242" spans="1:1" x14ac:dyDescent="0.55000000000000004">
      <c r="A242" s="173" t="e">
        <v>#REF!</v>
      </c>
    </row>
    <row r="243" spans="1:1" x14ac:dyDescent="0.55000000000000004">
      <c r="A243" s="173" t="e">
        <v>#REF!</v>
      </c>
    </row>
    <row r="244" spans="1:1" x14ac:dyDescent="0.55000000000000004">
      <c r="A244" s="173" t="e">
        <v>#REF!</v>
      </c>
    </row>
    <row r="245" spans="1:1" x14ac:dyDescent="0.55000000000000004">
      <c r="A245" s="173" t="e">
        <v>#REF!</v>
      </c>
    </row>
    <row r="246" spans="1:1" x14ac:dyDescent="0.55000000000000004">
      <c r="A246" s="173" t="e">
        <v>#REF!</v>
      </c>
    </row>
    <row r="247" spans="1:1" x14ac:dyDescent="0.55000000000000004">
      <c r="A247" s="173" t="e">
        <v>#REF!</v>
      </c>
    </row>
    <row r="248" spans="1:1" x14ac:dyDescent="0.55000000000000004">
      <c r="A248" s="173" t="e">
        <v>#REF!</v>
      </c>
    </row>
    <row r="249" spans="1:1" x14ac:dyDescent="0.55000000000000004">
      <c r="A249" s="173" t="e">
        <v>#REF!</v>
      </c>
    </row>
    <row r="250" spans="1:1" x14ac:dyDescent="0.55000000000000004">
      <c r="A250" s="173" t="e">
        <v>#REF!</v>
      </c>
    </row>
    <row r="251" spans="1:1" x14ac:dyDescent="0.55000000000000004">
      <c r="A251" s="173" t="e">
        <v>#REF!</v>
      </c>
    </row>
    <row r="252" spans="1:1" x14ac:dyDescent="0.55000000000000004">
      <c r="A252" s="173" t="e">
        <v>#REF!</v>
      </c>
    </row>
    <row r="253" spans="1:1" x14ac:dyDescent="0.55000000000000004">
      <c r="A253" s="173" t="e">
        <v>#REF!</v>
      </c>
    </row>
    <row r="254" spans="1:1" x14ac:dyDescent="0.55000000000000004">
      <c r="A254" s="173" t="e">
        <v>#REF!</v>
      </c>
    </row>
    <row r="255" spans="1:1" x14ac:dyDescent="0.55000000000000004">
      <c r="A255" s="173" t="e">
        <v>#REF!</v>
      </c>
    </row>
    <row r="256" spans="1:1" x14ac:dyDescent="0.55000000000000004">
      <c r="A256" s="173" t="e">
        <v>#REF!</v>
      </c>
    </row>
    <row r="257" spans="1:1" x14ac:dyDescent="0.55000000000000004">
      <c r="A257" s="173" t="e">
        <v>#REF!</v>
      </c>
    </row>
    <row r="258" spans="1:1" x14ac:dyDescent="0.55000000000000004">
      <c r="A258" s="173" t="e">
        <v>#REF!</v>
      </c>
    </row>
    <row r="259" spans="1:1" x14ac:dyDescent="0.55000000000000004">
      <c r="A259" s="173" t="e">
        <v>#REF!</v>
      </c>
    </row>
    <row r="260" spans="1:1" x14ac:dyDescent="0.55000000000000004">
      <c r="A260" s="173" t="e">
        <v>#REF!</v>
      </c>
    </row>
    <row r="261" spans="1:1" x14ac:dyDescent="0.55000000000000004">
      <c r="A261" s="173" t="e">
        <v>#REF!</v>
      </c>
    </row>
    <row r="262" spans="1:1" x14ac:dyDescent="0.55000000000000004">
      <c r="A262" s="173" t="e">
        <v>#REF!</v>
      </c>
    </row>
    <row r="263" spans="1:1" x14ac:dyDescent="0.55000000000000004">
      <c r="A263" s="173" t="e">
        <v>#REF!</v>
      </c>
    </row>
    <row r="264" spans="1:1" x14ac:dyDescent="0.55000000000000004">
      <c r="A264" s="173" t="e">
        <v>#REF!</v>
      </c>
    </row>
    <row r="265" spans="1:1" x14ac:dyDescent="0.55000000000000004">
      <c r="A265" s="173" t="e">
        <v>#REF!</v>
      </c>
    </row>
    <row r="266" spans="1:1" x14ac:dyDescent="0.55000000000000004">
      <c r="A266" s="173" t="e">
        <v>#REF!</v>
      </c>
    </row>
    <row r="267" spans="1:1" x14ac:dyDescent="0.55000000000000004">
      <c r="A267" s="173" t="e">
        <v>#REF!</v>
      </c>
    </row>
    <row r="268" spans="1:1" x14ac:dyDescent="0.55000000000000004">
      <c r="A268" s="173" t="e">
        <v>#REF!</v>
      </c>
    </row>
    <row r="269" spans="1:1" x14ac:dyDescent="0.55000000000000004">
      <c r="A269" s="173" t="e">
        <v>#REF!</v>
      </c>
    </row>
    <row r="270" spans="1:1" x14ac:dyDescent="0.55000000000000004">
      <c r="A270" s="173" t="e">
        <v>#REF!</v>
      </c>
    </row>
    <row r="271" spans="1:1" x14ac:dyDescent="0.55000000000000004">
      <c r="A271" s="173" t="e">
        <v>#REF!</v>
      </c>
    </row>
    <row r="272" spans="1:1" x14ac:dyDescent="0.55000000000000004">
      <c r="A272" s="173" t="e">
        <v>#REF!</v>
      </c>
    </row>
    <row r="273" spans="1:1" x14ac:dyDescent="0.55000000000000004">
      <c r="A273" s="173" t="e">
        <v>#REF!</v>
      </c>
    </row>
    <row r="274" spans="1:1" x14ac:dyDescent="0.55000000000000004">
      <c r="A274" s="173" t="e">
        <v>#REF!</v>
      </c>
    </row>
    <row r="275" spans="1:1" x14ac:dyDescent="0.55000000000000004">
      <c r="A275" s="173" t="e">
        <v>#REF!</v>
      </c>
    </row>
    <row r="276" spans="1:1" x14ac:dyDescent="0.55000000000000004">
      <c r="A276" s="173" t="e">
        <v>#REF!</v>
      </c>
    </row>
    <row r="277" spans="1:1" x14ac:dyDescent="0.55000000000000004">
      <c r="A277" s="173" t="e">
        <v>#REF!</v>
      </c>
    </row>
    <row r="278" spans="1:1" x14ac:dyDescent="0.55000000000000004">
      <c r="A278" s="173" t="e">
        <v>#REF!</v>
      </c>
    </row>
    <row r="279" spans="1:1" x14ac:dyDescent="0.55000000000000004">
      <c r="A279" s="173" t="e">
        <v>#REF!</v>
      </c>
    </row>
    <row r="280" spans="1:1" x14ac:dyDescent="0.55000000000000004">
      <c r="A280" s="173" t="e">
        <v>#REF!</v>
      </c>
    </row>
    <row r="281" spans="1:1" x14ac:dyDescent="0.55000000000000004">
      <c r="A281" s="173" t="e">
        <v>#REF!</v>
      </c>
    </row>
    <row r="282" spans="1:1" x14ac:dyDescent="0.55000000000000004">
      <c r="A282" s="173" t="e">
        <v>#REF!</v>
      </c>
    </row>
    <row r="283" spans="1:1" x14ac:dyDescent="0.55000000000000004">
      <c r="A283" s="173" t="e">
        <v>#REF!</v>
      </c>
    </row>
    <row r="284" spans="1:1" x14ac:dyDescent="0.55000000000000004">
      <c r="A284" s="173" t="e">
        <v>#REF!</v>
      </c>
    </row>
    <row r="285" spans="1:1" x14ac:dyDescent="0.55000000000000004">
      <c r="A285" s="173" t="e">
        <v>#REF!</v>
      </c>
    </row>
    <row r="286" spans="1:1" x14ac:dyDescent="0.55000000000000004">
      <c r="A286" s="173" t="e">
        <v>#REF!</v>
      </c>
    </row>
    <row r="287" spans="1:1" x14ac:dyDescent="0.55000000000000004">
      <c r="A287" s="173" t="e">
        <v>#REF!</v>
      </c>
    </row>
    <row r="288" spans="1:1" x14ac:dyDescent="0.55000000000000004">
      <c r="A288" s="173" t="e">
        <v>#REF!</v>
      </c>
    </row>
    <row r="289" spans="1:1" x14ac:dyDescent="0.55000000000000004">
      <c r="A289" s="173" t="e">
        <v>#REF!</v>
      </c>
    </row>
    <row r="290" spans="1:1" x14ac:dyDescent="0.55000000000000004">
      <c r="A290" s="173" t="e">
        <v>#REF!</v>
      </c>
    </row>
    <row r="291" spans="1:1" x14ac:dyDescent="0.55000000000000004">
      <c r="A291" s="173" t="e">
        <v>#REF!</v>
      </c>
    </row>
    <row r="292" spans="1:1" x14ac:dyDescent="0.55000000000000004">
      <c r="A292" s="173" t="e">
        <v>#REF!</v>
      </c>
    </row>
    <row r="293" spans="1:1" x14ac:dyDescent="0.55000000000000004">
      <c r="A293" s="173" t="e">
        <v>#REF!</v>
      </c>
    </row>
    <row r="294" spans="1:1" x14ac:dyDescent="0.55000000000000004">
      <c r="A294" s="173" t="e">
        <v>#REF!</v>
      </c>
    </row>
    <row r="295" spans="1:1" x14ac:dyDescent="0.55000000000000004">
      <c r="A295" s="173" t="e">
        <v>#REF!</v>
      </c>
    </row>
    <row r="296" spans="1:1" x14ac:dyDescent="0.55000000000000004">
      <c r="A296" s="173" t="e">
        <v>#REF!</v>
      </c>
    </row>
    <row r="297" spans="1:1" x14ac:dyDescent="0.55000000000000004">
      <c r="A297" s="173" t="e">
        <v>#REF!</v>
      </c>
    </row>
    <row r="298" spans="1:1" x14ac:dyDescent="0.55000000000000004">
      <c r="A298" s="173" t="e">
        <v>#REF!</v>
      </c>
    </row>
    <row r="299" spans="1:1" x14ac:dyDescent="0.55000000000000004">
      <c r="A299" s="173" t="e">
        <v>#REF!</v>
      </c>
    </row>
    <row r="300" spans="1:1" x14ac:dyDescent="0.55000000000000004">
      <c r="A300" s="173" t="e">
        <v>#REF!</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77</vt:i4>
      </vt:variant>
      <vt:variant>
        <vt:lpstr>名前付き一覧</vt:lpstr>
      </vt:variant>
      <vt:variant>
        <vt:i4>1</vt:i4>
      </vt:variant>
    </vt:vector>
  </HeadingPairs>
  <TitlesOfParts>
    <vt:vector size="78" baseType="lpstr">
      <vt:lpstr>野坂友宏</vt:lpstr>
      <vt:lpstr>野坂真生</vt:lpstr>
      <vt:lpstr>野坂幸央</vt:lpstr>
      <vt:lpstr>小倉大河</vt:lpstr>
      <vt:lpstr>三ツ森寧樹</vt:lpstr>
      <vt:lpstr>成田栞那</vt:lpstr>
      <vt:lpstr>成田睦生</vt:lpstr>
      <vt:lpstr>大森玲奈</vt:lpstr>
      <vt:lpstr>川﨑遥斗</vt:lpstr>
      <vt:lpstr>山本春稀</vt:lpstr>
      <vt:lpstr>武田寛生</vt:lpstr>
      <vt:lpstr>南木琥太郎</vt:lpstr>
      <vt:lpstr>南木こころ</vt:lpstr>
      <vt:lpstr>金谷壮真</vt:lpstr>
      <vt:lpstr>塩澤蓮</vt:lpstr>
      <vt:lpstr>塩澤陸</vt:lpstr>
      <vt:lpstr>新井天翔</vt:lpstr>
      <vt:lpstr>大橋優那</vt:lpstr>
      <vt:lpstr>肥塚紗月</vt:lpstr>
      <vt:lpstr>鶴見蓮音</vt:lpstr>
      <vt:lpstr>島田龍空</vt:lpstr>
      <vt:lpstr>島田和空</vt:lpstr>
      <vt:lpstr>富田竣介</vt:lpstr>
      <vt:lpstr>高田和音</vt:lpstr>
      <vt:lpstr>伊藤暉基</vt:lpstr>
      <vt:lpstr>臼井遥香</vt:lpstr>
      <vt:lpstr>臼井咲葵</vt:lpstr>
      <vt:lpstr>小井沼晴義</vt:lpstr>
      <vt:lpstr>斎藤啓次</vt:lpstr>
      <vt:lpstr>熊倉志道</vt:lpstr>
      <vt:lpstr>堀越悠太郎</vt:lpstr>
      <vt:lpstr>堀越亮佑</vt:lpstr>
      <vt:lpstr>平子創介</vt:lpstr>
      <vt:lpstr>大塚直幸</vt:lpstr>
      <vt:lpstr>大塚真結美</vt:lpstr>
      <vt:lpstr>高田賢吾</vt:lpstr>
      <vt:lpstr>加藤千空</vt:lpstr>
      <vt:lpstr>加藤怜</vt:lpstr>
      <vt:lpstr>石川基</vt:lpstr>
      <vt:lpstr>須田ほたる</vt:lpstr>
      <vt:lpstr>大貫那緒</vt:lpstr>
      <vt:lpstr>手塚みお</vt:lpstr>
      <vt:lpstr>堀田雄聖</vt:lpstr>
      <vt:lpstr>大出隆佑</vt:lpstr>
      <vt:lpstr>大出悠貫</vt:lpstr>
      <vt:lpstr>久保田葵</vt:lpstr>
      <vt:lpstr>市村隆晟</vt:lpstr>
      <vt:lpstr>比良大輝</vt:lpstr>
      <vt:lpstr>小倉丈</vt:lpstr>
      <vt:lpstr>篠崎龍</vt:lpstr>
      <vt:lpstr>篠崎楓</vt:lpstr>
      <vt:lpstr>玉川葵</vt:lpstr>
      <vt:lpstr>玉川風音</vt:lpstr>
      <vt:lpstr>小川根ノ葉</vt:lpstr>
      <vt:lpstr>鈴木遼太郎</vt:lpstr>
      <vt:lpstr>佐藤友悠</vt:lpstr>
      <vt:lpstr>永井悠太郎</vt:lpstr>
      <vt:lpstr>大木ゆいか</vt:lpstr>
      <vt:lpstr>島田莉由</vt:lpstr>
      <vt:lpstr>筒井陽菜</vt:lpstr>
      <vt:lpstr>飯野簾斗</vt:lpstr>
      <vt:lpstr>飯野煌心</vt:lpstr>
      <vt:lpstr>飯野蓮凰</vt:lpstr>
      <vt:lpstr>和久井捺生</vt:lpstr>
      <vt:lpstr>データ</vt:lpstr>
      <vt:lpstr>Sheet1</vt:lpstr>
      <vt:lpstr>結果シート</vt:lpstr>
      <vt:lpstr>個人シート原本</vt:lpstr>
      <vt:lpstr>臼井結香</vt:lpstr>
      <vt:lpstr>出井結大</vt:lpstr>
      <vt:lpstr>清水稜生</vt:lpstr>
      <vt:lpstr>野澤奏翔</vt:lpstr>
      <vt:lpstr>野澤朋樹</vt:lpstr>
      <vt:lpstr>宮本絢菜</vt:lpstr>
      <vt:lpstr>男子</vt:lpstr>
      <vt:lpstr>女子</vt:lpstr>
      <vt:lpstr>Sheet3</vt:lpstr>
      <vt:lpstr>結果シート!Print_Area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山﨑 元気</cp:lastModifiedBy>
  <cp:lastPrinted>2026-02-24T07:53:41Z</cp:lastPrinted>
  <dcterms:created xsi:type="dcterms:W3CDTF">2024-03-18T06:19:11Z</dcterms:created>
  <dcterms:modified xsi:type="dcterms:W3CDTF">2026-05-07T02:05:41Z</dcterms:modified>
</cp:coreProperties>
</file>